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一覧" sheetId="1" state="visible" r:id="rId1"/>
  </sheets>
  <definedNames>
    <definedName name="_xlnm.Print_Titles" localSheetId="0">'売上一覧'!$4:$4</definedName>
    <definedName name="_xlnm.Print_Area" localSheetId="0">'売上一覧'!$A$1:$K$155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/m/d(aaa)"/>
    <numFmt numFmtId="166" formatCode="&quot;¥&quot;#,##0"/>
    <numFmt numFmtId="167" formatCode="&quot;¥&quot;#,##0;[Red]&quot;¥&quot;-#,##0"/>
    <numFmt numFmtId="168" formatCode="0.0%"/>
    <numFmt numFmtId="169" formatCode="[$-ja-JP]ggge&quot;年&quot;m&quot;月&quot;d&quot;日&quot;"/>
  </numFmts>
  <fonts count="5"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6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1"/>
    </font>
  </fonts>
  <fills count="4">
    <fill>
      <patternFill/>
    </fill>
    <fill>
      <patternFill patternType="gray125"/>
    </fill>
    <fill>
      <patternFill patternType="solid">
        <fgColor theme="8" tint="0.5999938962981048"/>
      </patternFill>
    </fill>
    <fill>
      <patternFill patternType="solid">
        <fgColor theme="0" tint="-0.149998474074526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6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.75"/>
  <cols>
    <col width="5" customWidth="1" min="1" max="1"/>
    <col width="13" customWidth="1" min="2" max="2"/>
    <col width="30" customWidth="1" min="3" max="3"/>
    <col width="24" customWidth="1" min="4" max="4"/>
    <col width="8" customWidth="1" min="5" max="5"/>
    <col width="11" customWidth="1" min="6" max="6"/>
    <col width="13" customWidth="1" min="7" max="7"/>
    <col hidden="1" width="11" customWidth="1" min="8" max="8"/>
    <col width="9" customWidth="1" min="9" max="9"/>
    <col width="22" customWidth="1" min="10" max="10"/>
    <col width="12" customWidth="1" min="11" max="11"/>
  </cols>
  <sheetData>
    <row r="1" ht="26" customHeight="1">
      <c r="A1" s="1" t="inlineStr">
        <is>
          <t>売上一覧表</t>
        </is>
      </c>
    </row>
    <row r="2">
      <c r="A2" s="2" t="inlineStr">
        <is>
          <t>(対象期間)</t>
        </is>
      </c>
      <c r="J2" s="3" t="inlineStr">
        <is>
          <t>(部署名)</t>
        </is>
      </c>
    </row>
    <row r="4" ht="30" customHeight="1">
      <c r="A4" s="4" t="inlineStr">
        <is>
          <t>No.</t>
        </is>
      </c>
      <c r="B4" s="4" t="inlineStr">
        <is>
          <t>売上日</t>
        </is>
      </c>
      <c r="C4" s="4" t="inlineStr">
        <is>
          <t>得意先</t>
        </is>
      </c>
      <c r="D4" s="4" t="inlineStr">
        <is>
          <t>品目</t>
        </is>
      </c>
      <c r="E4" s="4" t="inlineStr">
        <is>
          <t>数量</t>
        </is>
      </c>
      <c r="F4" s="4" t="inlineStr">
        <is>
          <t>単価</t>
        </is>
      </c>
      <c r="G4" s="4" t="inlineStr">
        <is>
          <t>金額</t>
        </is>
      </c>
      <c r="H4" s="4" t="inlineStr">
        <is>
          <t>原価(社外秘)</t>
        </is>
      </c>
      <c r="I4" s="4" t="inlineStr">
        <is>
          <t>粗利率</t>
        </is>
      </c>
      <c r="J4" s="4" t="inlineStr">
        <is>
          <t>担当者メモ</t>
        </is>
      </c>
      <c r="K4" s="4" t="inlineStr">
        <is>
          <t>入金予定日</t>
        </is>
      </c>
    </row>
    <row r="5">
      <c r="A5" s="5" t="n">
        <v>1</v>
      </c>
      <c r="B5" s="6" t="n">
        <v>46113</v>
      </c>
      <c r="C5" s="7" t="inlineStr">
        <is>
          <t>株式会社サンプル商事</t>
        </is>
      </c>
      <c r="D5" s="7" t="inlineStr">
        <is>
          <t>コピー用紙A4(500枚×5冊)</t>
        </is>
      </c>
      <c r="E5" s="8" t="n">
        <v>1</v>
      </c>
      <c r="F5" s="9" t="n">
        <v>480</v>
      </c>
      <c r="G5" s="10">
        <f>E5*F5</f>
        <v>480</v>
      </c>
      <c r="H5" s="8" t="n">
        <v>346</v>
      </c>
      <c r="I5" s="11">
        <f>IF(G5=0,"",(G5-H5)/G5)</f>
        <v>0.2791666666666667</v>
      </c>
      <c r="J5" s="7" t="inlineStr">
        <is>
          <t>要確認</t>
        </is>
      </c>
      <c r="K5" s="12" t="n">
        <v>46143</v>
      </c>
    </row>
    <row r="6">
      <c r="A6" s="5" t="n">
        <v>2</v>
      </c>
      <c r="B6" s="6" t="n">
        <v>46113</v>
      </c>
      <c r="C6" s="7" t="inlineStr">
        <is>
          <t>有限会社テスト工業</t>
        </is>
      </c>
      <c r="D6" s="7" t="inlineStr">
        <is>
          <t>トナーカートリッジ</t>
        </is>
      </c>
      <c r="E6" s="8" t="n">
        <v>2</v>
      </c>
      <c r="F6" s="9" t="n">
        <v>12800</v>
      </c>
      <c r="G6" s="10">
        <f>E6*F6</f>
        <v>25600</v>
      </c>
      <c r="H6" s="8" t="n">
        <v>18432</v>
      </c>
      <c r="I6" s="11">
        <f>IF(G6=0,"",(G6-H6)/G6)</f>
        <v>0.28</v>
      </c>
      <c r="J6" s="7" t="n"/>
      <c r="K6" s="12" t="n">
        <v>46143</v>
      </c>
    </row>
    <row r="7">
      <c r="A7" s="5" t="n">
        <v>3</v>
      </c>
      <c r="B7" s="6" t="n">
        <v>46113</v>
      </c>
      <c r="C7" s="7" t="inlineStr">
        <is>
          <t>合同会社見本ソリューションズ東日本支社</t>
        </is>
      </c>
      <c r="D7" s="7" t="inlineStr">
        <is>
          <t>保守サービス(年間)</t>
        </is>
      </c>
      <c r="E7" s="8" t="n">
        <v>3</v>
      </c>
      <c r="F7" s="9" t="n">
        <v>98000</v>
      </c>
      <c r="G7" s="10">
        <f>E7*F7</f>
        <v>294000</v>
      </c>
      <c r="H7" s="8" t="n">
        <v>211680</v>
      </c>
      <c r="I7" s="11">
        <f>IF(G7=0,"",(G7-H7)/G7)</f>
        <v>0.28</v>
      </c>
      <c r="J7" s="7" t="n"/>
      <c r="K7" s="12" t="n">
        <v>46143</v>
      </c>
    </row>
    <row r="8">
      <c r="A8" s="5" t="n">
        <v>4</v>
      </c>
      <c r="B8" s="6" t="n">
        <v>46113</v>
      </c>
      <c r="C8" s="7" t="inlineStr">
        <is>
          <t>サンプル物産株式会社</t>
        </is>
      </c>
      <c r="D8" s="7" t="inlineStr">
        <is>
          <t>ノートPC</t>
        </is>
      </c>
      <c r="E8" s="8" t="n">
        <v>4</v>
      </c>
      <c r="F8" s="9" t="n">
        <v>158000</v>
      </c>
      <c r="G8" s="10">
        <f>E8*F8</f>
        <v>632000</v>
      </c>
      <c r="H8" s="8" t="n">
        <v>455040</v>
      </c>
      <c r="I8" s="11">
        <f>IF(G8=0,"",(G8-H8)/G8)</f>
        <v>0.28</v>
      </c>
      <c r="J8" s="7" t="n"/>
      <c r="K8" s="12" t="n">
        <v>46143</v>
      </c>
    </row>
    <row r="9">
      <c r="A9" s="5" t="n">
        <v>5</v>
      </c>
      <c r="B9" s="6" t="n">
        <v>46113</v>
      </c>
      <c r="C9" s="7" t="inlineStr">
        <is>
          <t>株式会社ﾃｽﾄｶﾅ</t>
        </is>
      </c>
      <c r="D9" s="7" t="inlineStr">
        <is>
          <t>USBメモリ 64GB</t>
        </is>
      </c>
      <c r="E9" s="8" t="n">
        <v>5</v>
      </c>
      <c r="F9" s="9" t="n">
        <v>1980</v>
      </c>
      <c r="G9" s="10">
        <f>E9*F9</f>
        <v>9900</v>
      </c>
      <c r="H9" s="8" t="n">
        <v>7128</v>
      </c>
      <c r="I9" s="11">
        <f>IF(G9=0,"",(G9-H9)/G9)</f>
        <v>0.28</v>
      </c>
      <c r="J9" s="7" t="n"/>
      <c r="K9" s="12" t="n">
        <v>46143</v>
      </c>
    </row>
    <row r="10">
      <c r="A10" s="5" t="n">
        <v>6</v>
      </c>
      <c r="B10" s="6" t="n">
        <v>46114</v>
      </c>
      <c r="C10" s="7" t="inlineStr">
        <is>
          <t>株式会社サンプル商事</t>
        </is>
      </c>
      <c r="D10" s="7" t="inlineStr">
        <is>
          <t>コピー用紙A4(500枚×5冊)</t>
        </is>
      </c>
      <c r="E10" s="8" t="n">
        <v>6</v>
      </c>
      <c r="F10" s="9" t="n">
        <v>480</v>
      </c>
      <c r="G10" s="10">
        <f>E10*F10</f>
        <v>2880</v>
      </c>
      <c r="H10" s="8" t="n">
        <v>2074</v>
      </c>
      <c r="I10" s="11">
        <f>IF(G10=0,"",(G10-H10)/G10)</f>
        <v>0.2798611111111111</v>
      </c>
      <c r="J10" s="7" t="n"/>
      <c r="K10" s="12" t="n">
        <v>46144</v>
      </c>
    </row>
    <row r="11">
      <c r="A11" s="5" t="n">
        <v>7</v>
      </c>
      <c r="B11" s="6" t="n">
        <v>46114</v>
      </c>
      <c r="C11" s="7" t="inlineStr">
        <is>
          <t>有限会社テスト工業</t>
        </is>
      </c>
      <c r="D11" s="7" t="inlineStr">
        <is>
          <t>トナーカートリッジ</t>
        </is>
      </c>
      <c r="E11" s="8" t="n">
        <v>7</v>
      </c>
      <c r="F11" s="9" t="n">
        <v>12800</v>
      </c>
      <c r="G11" s="10">
        <f>E11*F11</f>
        <v>89600</v>
      </c>
      <c r="H11" s="8" t="n">
        <v>64512</v>
      </c>
      <c r="I11" s="11">
        <f>IF(G11=0,"",(G11-H11)/G11)</f>
        <v>0.28</v>
      </c>
      <c r="J11" s="7" t="n"/>
      <c r="K11" s="12" t="n">
        <v>46144</v>
      </c>
    </row>
    <row r="12">
      <c r="A12" s="5" t="n">
        <v>8</v>
      </c>
      <c r="B12" s="6" t="n">
        <v>46114</v>
      </c>
      <c r="C12" s="7" t="inlineStr">
        <is>
          <t>合同会社見本ソリューションズ東日本支社</t>
        </is>
      </c>
      <c r="D12" s="7" t="inlineStr">
        <is>
          <t>保守サービス(年間)</t>
        </is>
      </c>
      <c r="E12" s="8" t="n">
        <v>8</v>
      </c>
      <c r="F12" s="9" t="n">
        <v>98000</v>
      </c>
      <c r="G12" s="10">
        <f>E12*F12</f>
        <v>784000</v>
      </c>
      <c r="H12" s="8" t="n">
        <v>564480</v>
      </c>
      <c r="I12" s="11">
        <f>IF(G12=0,"",(G12-H12)/G12)</f>
        <v>0.28</v>
      </c>
      <c r="J12" s="7" t="n"/>
      <c r="K12" s="12" t="n">
        <v>46144</v>
      </c>
    </row>
    <row r="13">
      <c r="A13" s="5" t="n">
        <v>9</v>
      </c>
      <c r="B13" s="6" t="n">
        <v>46114</v>
      </c>
      <c r="C13" s="7" t="inlineStr">
        <is>
          <t>サンプル物産株式会社</t>
        </is>
      </c>
      <c r="D13" s="7" t="inlineStr">
        <is>
          <t>ノートPC</t>
        </is>
      </c>
      <c r="E13" s="8" t="n">
        <v>9</v>
      </c>
      <c r="F13" s="9" t="n">
        <v>158000</v>
      </c>
      <c r="G13" s="10">
        <f>E13*F13</f>
        <v>1422000</v>
      </c>
      <c r="H13" s="8" t="n">
        <v>1023840</v>
      </c>
      <c r="I13" s="11">
        <f>IF(G13=0,"",(G13-H13)/G13)</f>
        <v>0.28</v>
      </c>
      <c r="J13" s="7" t="n"/>
      <c r="K13" s="12" t="n">
        <v>46144</v>
      </c>
    </row>
    <row r="14">
      <c r="A14" s="5" t="n">
        <v>10</v>
      </c>
      <c r="B14" s="6" t="n">
        <v>46114</v>
      </c>
      <c r="C14" s="7" t="inlineStr">
        <is>
          <t>株式会社ﾃｽﾄｶﾅ</t>
        </is>
      </c>
      <c r="D14" s="7" t="inlineStr">
        <is>
          <t>USBメモリ 64GB</t>
        </is>
      </c>
      <c r="E14" s="8" t="n">
        <v>1</v>
      </c>
      <c r="F14" s="9" t="n">
        <v>1980</v>
      </c>
      <c r="G14" s="10">
        <f>E14*F14</f>
        <v>1980</v>
      </c>
      <c r="H14" s="8" t="n">
        <v>1426</v>
      </c>
      <c r="I14" s="11">
        <f>IF(G14=0,"",(G14-H14)/G14)</f>
        <v>0.2797979797979798</v>
      </c>
      <c r="J14" s="7" t="n"/>
      <c r="K14" s="12" t="n">
        <v>46144</v>
      </c>
    </row>
    <row r="15" ht="0" customHeight="1">
      <c r="A15" s="5" t="n">
        <v>11</v>
      </c>
      <c r="B15" s="6" t="n">
        <v>46115</v>
      </c>
      <c r="C15" s="7" t="inlineStr">
        <is>
          <t>株式会社サンプル商事</t>
        </is>
      </c>
      <c r="D15" s="7" t="inlineStr">
        <is>
          <t>コピー用紙A4(500枚×5冊)</t>
        </is>
      </c>
      <c r="E15" s="8" t="n">
        <v>2</v>
      </c>
      <c r="F15" s="9" t="n">
        <v>480</v>
      </c>
      <c r="G15" s="10">
        <f>E15*F15</f>
        <v>960</v>
      </c>
      <c r="H15" s="8" t="n">
        <v>691</v>
      </c>
      <c r="I15" s="11">
        <f>IF(G15=0,"",(G15-H15)/G15)</f>
        <v>0.28020833333333334</v>
      </c>
      <c r="J15" s="7" t="n"/>
      <c r="K15" s="12" t="n">
        <v>46145</v>
      </c>
    </row>
    <row r="16">
      <c r="A16" s="5" t="n">
        <v>12</v>
      </c>
      <c r="B16" s="6" t="n">
        <v>46115</v>
      </c>
      <c r="C16" s="7" t="inlineStr">
        <is>
          <t>有限会社テスト工業</t>
        </is>
      </c>
      <c r="D16" s="7" t="inlineStr">
        <is>
          <t>トナーカートリッジ</t>
        </is>
      </c>
      <c r="E16" s="8" t="n">
        <v>3</v>
      </c>
      <c r="F16" s="9" t="n">
        <v>12800</v>
      </c>
      <c r="G16" s="10">
        <f>E16*F16</f>
        <v>38400</v>
      </c>
      <c r="H16" s="8" t="n">
        <v>27648</v>
      </c>
      <c r="I16" s="11">
        <f>IF(G16=0,"",(G16-H16)/G16)</f>
        <v>0.28</v>
      </c>
      <c r="J16" s="7" t="n"/>
      <c r="K16" s="12" t="n">
        <v>46145</v>
      </c>
    </row>
    <row r="17">
      <c r="A17" s="5" t="n">
        <v>13</v>
      </c>
      <c r="B17" s="6" t="n">
        <v>46115</v>
      </c>
      <c r="C17" s="7" t="inlineStr">
        <is>
          <t>合同会社見本ソリューションズ東日本支社</t>
        </is>
      </c>
      <c r="D17" s="7" t="inlineStr">
        <is>
          <t>保守サービス(年間)</t>
        </is>
      </c>
      <c r="E17" s="8" t="n">
        <v>4</v>
      </c>
      <c r="F17" s="9" t="n">
        <v>98000</v>
      </c>
      <c r="G17" s="10">
        <f>E17*F17</f>
        <v>392000</v>
      </c>
      <c r="H17" s="8" t="n">
        <v>282240</v>
      </c>
      <c r="I17" s="11">
        <f>IF(G17=0,"",(G17-H17)/G17)</f>
        <v>0.28</v>
      </c>
      <c r="J17" s="7" t="n"/>
      <c r="K17" s="12" t="n">
        <v>46145</v>
      </c>
    </row>
    <row r="18">
      <c r="A18" s="5" t="n">
        <v>14</v>
      </c>
      <c r="B18" s="6" t="n">
        <v>46115</v>
      </c>
      <c r="C18" s="7" t="inlineStr">
        <is>
          <t>サンプル物産株式会社</t>
        </is>
      </c>
      <c r="D18" s="7" t="inlineStr">
        <is>
          <t>ノートPC</t>
        </is>
      </c>
      <c r="E18" s="8" t="n">
        <v>5</v>
      </c>
      <c r="F18" s="9" t="n">
        <v>158000</v>
      </c>
      <c r="G18" s="10">
        <f>E18*F18</f>
        <v>790000</v>
      </c>
      <c r="H18" s="8" t="n">
        <v>568800</v>
      </c>
      <c r="I18" s="11">
        <f>IF(G18=0,"",(G18-H18)/G18)</f>
        <v>0.28</v>
      </c>
      <c r="J18" s="7" t="n"/>
      <c r="K18" s="12" t="n">
        <v>46145</v>
      </c>
    </row>
    <row r="19">
      <c r="A19" s="5" t="n">
        <v>15</v>
      </c>
      <c r="B19" s="6" t="n">
        <v>46115</v>
      </c>
      <c r="C19" s="7" t="inlineStr">
        <is>
          <t>株式会社ﾃｽﾄｶﾅ</t>
        </is>
      </c>
      <c r="D19" s="7" t="inlineStr">
        <is>
          <t>USBメモリ 64GB</t>
        </is>
      </c>
      <c r="E19" s="8" t="n">
        <v>6</v>
      </c>
      <c r="F19" s="9" t="n">
        <v>1980</v>
      </c>
      <c r="G19" s="10">
        <f>E19*F19</f>
        <v>11880</v>
      </c>
      <c r="H19" s="8" t="n">
        <v>8554</v>
      </c>
      <c r="I19" s="11">
        <f>IF(G19=0,"",(G19-H19)/G19)</f>
        <v>0.27996632996633</v>
      </c>
      <c r="J19" s="7" t="n"/>
      <c r="K19" s="12" t="n">
        <v>46145</v>
      </c>
    </row>
    <row r="20">
      <c r="A20" s="5" t="n">
        <v>16</v>
      </c>
      <c r="B20" s="6" t="n">
        <v>46116</v>
      </c>
      <c r="C20" s="7" t="inlineStr">
        <is>
          <t>株式会社サンプル商事</t>
        </is>
      </c>
      <c r="D20" s="7" t="inlineStr">
        <is>
          <t>コピー用紙A4(500枚×5冊)</t>
        </is>
      </c>
      <c r="E20" s="8" t="n">
        <v>7</v>
      </c>
      <c r="F20" s="9" t="n">
        <v>480</v>
      </c>
      <c r="G20" s="10">
        <f>E20*F20</f>
        <v>3360</v>
      </c>
      <c r="H20" s="8" t="n">
        <v>2419</v>
      </c>
      <c r="I20" s="11">
        <f>IF(G20=0,"",(G20-H20)/G20)</f>
        <v>0.2800595238095238</v>
      </c>
      <c r="J20" s="7" t="n"/>
      <c r="K20" s="12" t="n">
        <v>46146</v>
      </c>
    </row>
    <row r="21">
      <c r="A21" s="5" t="n">
        <v>17</v>
      </c>
      <c r="B21" s="6" t="n">
        <v>46116</v>
      </c>
      <c r="C21" s="7" t="inlineStr">
        <is>
          <t>有限会社テスト工業</t>
        </is>
      </c>
      <c r="D21" s="7" t="inlineStr">
        <is>
          <t>トナーカートリッジ</t>
        </is>
      </c>
      <c r="E21" s="8" t="n">
        <v>8</v>
      </c>
      <c r="F21" s="9" t="n">
        <v>12800</v>
      </c>
      <c r="G21" s="10">
        <f>E21*F21</f>
        <v>102400</v>
      </c>
      <c r="H21" s="8" t="n">
        <v>73728</v>
      </c>
      <c r="I21" s="11">
        <f>IF(G21=0,"",(G21-H21)/G21)</f>
        <v>0.28</v>
      </c>
      <c r="J21" s="7" t="n"/>
      <c r="K21" s="12" t="n">
        <v>46146</v>
      </c>
    </row>
    <row r="22">
      <c r="A22" s="5" t="n">
        <v>18</v>
      </c>
      <c r="B22" s="6" t="n">
        <v>46116</v>
      </c>
      <c r="C22" s="7" t="inlineStr">
        <is>
          <t>合同会社見本ソリューションズ東日本支社</t>
        </is>
      </c>
      <c r="D22" s="7" t="inlineStr">
        <is>
          <t>保守サービス(年間)</t>
        </is>
      </c>
      <c r="E22" s="8" t="n">
        <v>9</v>
      </c>
      <c r="F22" s="9" t="n">
        <v>98000</v>
      </c>
      <c r="G22" s="10">
        <f>E22*F22</f>
        <v>882000</v>
      </c>
      <c r="H22" s="8" t="n">
        <v>635040</v>
      </c>
      <c r="I22" s="11">
        <f>IF(G22=0,"",(G22-H22)/G22)</f>
        <v>0.28</v>
      </c>
      <c r="J22" s="7" t="inlineStr">
        <is>
          <t>要確認</t>
        </is>
      </c>
      <c r="K22" s="12" t="n">
        <v>46146</v>
      </c>
    </row>
    <row r="23">
      <c r="A23" s="5" t="n">
        <v>19</v>
      </c>
      <c r="B23" s="6" t="n">
        <v>46116</v>
      </c>
      <c r="C23" s="7" t="inlineStr">
        <is>
          <t>サンプル物産株式会社</t>
        </is>
      </c>
      <c r="D23" s="7" t="inlineStr">
        <is>
          <t>ノートPC</t>
        </is>
      </c>
      <c r="E23" s="8" t="n">
        <v>1</v>
      </c>
      <c r="F23" s="9" t="n">
        <v>158000</v>
      </c>
      <c r="G23" s="10">
        <f>E23*F23</f>
        <v>158000</v>
      </c>
      <c r="H23" s="8" t="n">
        <v>113760</v>
      </c>
      <c r="I23" s="11">
        <f>IF(G23=0,"",(G23-H23)/G23)</f>
        <v>0.28</v>
      </c>
      <c r="J23" s="7" t="n"/>
      <c r="K23" s="12" t="n">
        <v>46146</v>
      </c>
    </row>
    <row r="24">
      <c r="A24" s="5" t="n">
        <v>20</v>
      </c>
      <c r="B24" s="6" t="n">
        <v>46116</v>
      </c>
      <c r="C24" s="7" t="inlineStr">
        <is>
          <t>株式会社ﾃｽﾄｶﾅ</t>
        </is>
      </c>
      <c r="D24" s="7" t="inlineStr">
        <is>
          <t>USBメモリ 64GB</t>
        </is>
      </c>
      <c r="E24" s="8" t="n">
        <v>2</v>
      </c>
      <c r="F24" s="9" t="n">
        <v>1980</v>
      </c>
      <c r="G24" s="10">
        <f>E24*F24</f>
        <v>3960</v>
      </c>
      <c r="H24" s="8" t="n">
        <v>2851</v>
      </c>
      <c r="I24" s="11">
        <f>IF(G24=0,"",(G24-H24)/G24)</f>
        <v>0.28005050505050505</v>
      </c>
      <c r="J24" s="7" t="n"/>
      <c r="K24" s="12" t="n">
        <v>46146</v>
      </c>
    </row>
    <row r="25">
      <c r="A25" s="5" t="n">
        <v>21</v>
      </c>
      <c r="B25" s="6" t="n">
        <v>46117</v>
      </c>
      <c r="C25" s="7" t="inlineStr">
        <is>
          <t>株式会社サンプル商事</t>
        </is>
      </c>
      <c r="D25" s="7" t="inlineStr">
        <is>
          <t>コピー用紙A4(500枚×5冊)</t>
        </is>
      </c>
      <c r="E25" s="8" t="n">
        <v>3</v>
      </c>
      <c r="F25" s="9" t="n">
        <v>480</v>
      </c>
      <c r="G25" s="10">
        <f>E25*F25</f>
        <v>1440</v>
      </c>
      <c r="H25" s="8" t="n">
        <v>1037</v>
      </c>
      <c r="I25" s="11">
        <f>IF(G25=0,"",(G25-H25)/G25)</f>
        <v>0.2798611111111111</v>
      </c>
      <c r="J25" s="7" t="n"/>
      <c r="K25" s="12" t="n">
        <v>46147</v>
      </c>
    </row>
    <row r="26">
      <c r="A26" s="5" t="n">
        <v>22</v>
      </c>
      <c r="B26" s="6" t="n">
        <v>46117</v>
      </c>
      <c r="C26" s="7" t="inlineStr">
        <is>
          <t>有限会社テスト工業</t>
        </is>
      </c>
      <c r="D26" s="7" t="inlineStr">
        <is>
          <t>トナーカートリッジ</t>
        </is>
      </c>
      <c r="E26" s="8" t="n">
        <v>4</v>
      </c>
      <c r="F26" s="9" t="n">
        <v>12800</v>
      </c>
      <c r="G26" s="10">
        <f>E26*F26</f>
        <v>51200</v>
      </c>
      <c r="H26" s="8" t="n">
        <v>36864</v>
      </c>
      <c r="I26" s="11">
        <f>IF(G26=0,"",(G26-H26)/G26)</f>
        <v>0.28</v>
      </c>
      <c r="J26" s="7" t="n"/>
      <c r="K26" s="12" t="n">
        <v>46147</v>
      </c>
    </row>
    <row r="27">
      <c r="A27" s="5" t="n">
        <v>23</v>
      </c>
      <c r="B27" s="6" t="n">
        <v>46117</v>
      </c>
      <c r="C27" s="7" t="inlineStr">
        <is>
          <t>合同会社見本ソリューションズ東日本支社</t>
        </is>
      </c>
      <c r="D27" s="7" t="inlineStr">
        <is>
          <t>保守サービス(年間)</t>
        </is>
      </c>
      <c r="E27" s="8" t="n">
        <v>5</v>
      </c>
      <c r="F27" s="9" t="n">
        <v>98000</v>
      </c>
      <c r="G27" s="10">
        <f>E27*F27</f>
        <v>490000</v>
      </c>
      <c r="H27" s="8" t="n">
        <v>352800</v>
      </c>
      <c r="I27" s="11">
        <f>IF(G27=0,"",(G27-H27)/G27)</f>
        <v>0.28</v>
      </c>
      <c r="J27" s="7" t="n"/>
      <c r="K27" s="12" t="n">
        <v>46147</v>
      </c>
    </row>
    <row r="28">
      <c r="A28" s="5" t="n">
        <v>24</v>
      </c>
      <c r="B28" s="6" t="n">
        <v>46117</v>
      </c>
      <c r="C28" s="7" t="inlineStr">
        <is>
          <t>サンプル物産株式会社</t>
        </is>
      </c>
      <c r="D28" s="7" t="inlineStr">
        <is>
          <t>ノートPC</t>
        </is>
      </c>
      <c r="E28" s="8" t="n">
        <v>6</v>
      </c>
      <c r="F28" s="9" t="n">
        <v>158000</v>
      </c>
      <c r="G28" s="10">
        <f>E28*F28</f>
        <v>948000</v>
      </c>
      <c r="H28" s="8" t="n">
        <v>682560</v>
      </c>
      <c r="I28" s="11">
        <f>IF(G28=0,"",(G28-H28)/G28)</f>
        <v>0.28</v>
      </c>
      <c r="J28" s="7" t="n"/>
      <c r="K28" s="12" t="n">
        <v>46147</v>
      </c>
    </row>
    <row r="29" hidden="1">
      <c r="A29" s="5" t="n">
        <v>25</v>
      </c>
      <c r="B29" s="6" t="n">
        <v>46117</v>
      </c>
      <c r="C29" s="7" t="inlineStr">
        <is>
          <t>株式会社ﾃｽﾄｶﾅ</t>
        </is>
      </c>
      <c r="D29" s="7" t="inlineStr">
        <is>
          <t>USBメモリ 64GB</t>
        </is>
      </c>
      <c r="E29" s="8" t="n">
        <v>7</v>
      </c>
      <c r="F29" s="9" t="n">
        <v>1980</v>
      </c>
      <c r="G29" s="10">
        <f>E29*F29</f>
        <v>13860</v>
      </c>
      <c r="H29" s="8" t="n">
        <v>9979</v>
      </c>
      <c r="I29" s="11">
        <f>IF(G29=0,"",(G29-H29)/G29)</f>
        <v>0.28001443001443</v>
      </c>
      <c r="J29" s="7" t="n"/>
      <c r="K29" s="12" t="n">
        <v>46147</v>
      </c>
    </row>
    <row r="30">
      <c r="A30" s="5" t="n">
        <v>26</v>
      </c>
      <c r="B30" s="6" t="n">
        <v>46118</v>
      </c>
      <c r="C30" s="7" t="inlineStr">
        <is>
          <t>株式会社サンプル商事</t>
        </is>
      </c>
      <c r="D30" s="7" t="inlineStr">
        <is>
          <t>コピー用紙A4(500枚×5冊)</t>
        </is>
      </c>
      <c r="E30" s="8" t="n">
        <v>8</v>
      </c>
      <c r="F30" s="9" t="n">
        <v>480</v>
      </c>
      <c r="G30" s="10">
        <f>E30*F30</f>
        <v>3840</v>
      </c>
      <c r="H30" s="8" t="n">
        <v>2765</v>
      </c>
      <c r="I30" s="11">
        <f>IF(G30=0,"",(G30-H30)/G30)</f>
        <v>0.2799479166666667</v>
      </c>
      <c r="J30" s="7" t="n"/>
      <c r="K30" s="12" t="n">
        <v>46148</v>
      </c>
    </row>
    <row r="31">
      <c r="A31" s="5" t="n">
        <v>27</v>
      </c>
      <c r="B31" s="6" t="n">
        <v>46118</v>
      </c>
      <c r="C31" s="7" t="inlineStr">
        <is>
          <t>有限会社テスト工業</t>
        </is>
      </c>
      <c r="D31" s="7" t="inlineStr">
        <is>
          <t>トナーカートリッジ</t>
        </is>
      </c>
      <c r="E31" s="8" t="n">
        <v>9</v>
      </c>
      <c r="F31" s="9" t="n">
        <v>12800</v>
      </c>
      <c r="G31" s="10">
        <f>E31*F31</f>
        <v>115200</v>
      </c>
      <c r="H31" s="8" t="n">
        <v>82944</v>
      </c>
      <c r="I31" s="11">
        <f>IF(G31=0,"",(G31-H31)/G31)</f>
        <v>0.28</v>
      </c>
      <c r="J31" s="7" t="n"/>
      <c r="K31" s="12" t="n">
        <v>46148</v>
      </c>
    </row>
    <row r="32">
      <c r="A32" s="5" t="n">
        <v>28</v>
      </c>
      <c r="B32" s="6" t="n">
        <v>46118</v>
      </c>
      <c r="C32" s="7" t="inlineStr">
        <is>
          <t>合同会社見本ソリューションズ東日本支社</t>
        </is>
      </c>
      <c r="D32" s="7" t="inlineStr">
        <is>
          <t>保守サービス(年間)</t>
        </is>
      </c>
      <c r="E32" s="8" t="n">
        <v>1</v>
      </c>
      <c r="F32" s="9" t="n">
        <v>98000</v>
      </c>
      <c r="G32" s="10">
        <f>E32*F32</f>
        <v>98000</v>
      </c>
      <c r="H32" s="8" t="n">
        <v>70560</v>
      </c>
      <c r="I32" s="11">
        <f>IF(G32=0,"",(G32-H32)/G32)</f>
        <v>0.28</v>
      </c>
      <c r="J32" s="7" t="n"/>
      <c r="K32" s="12" t="n">
        <v>46148</v>
      </c>
    </row>
    <row r="33">
      <c r="A33" s="5" t="n">
        <v>29</v>
      </c>
      <c r="B33" s="6" t="n">
        <v>46118</v>
      </c>
      <c r="C33" s="7" t="inlineStr">
        <is>
          <t>サンプル物産株式会社</t>
        </is>
      </c>
      <c r="D33" s="7" t="inlineStr">
        <is>
          <t>ノートPC</t>
        </is>
      </c>
      <c r="E33" s="8" t="n">
        <v>2</v>
      </c>
      <c r="F33" s="9" t="n">
        <v>158000</v>
      </c>
      <c r="G33" s="10">
        <f>E33*F33</f>
        <v>316000</v>
      </c>
      <c r="H33" s="8" t="n">
        <v>227520</v>
      </c>
      <c r="I33" s="11">
        <f>IF(G33=0,"",(G33-H33)/G33)</f>
        <v>0.28</v>
      </c>
      <c r="J33" s="7" t="n"/>
      <c r="K33" s="12" t="n">
        <v>46148</v>
      </c>
    </row>
    <row r="34">
      <c r="A34" s="5" t="n">
        <v>30</v>
      </c>
      <c r="B34" s="6" t="n">
        <v>46118</v>
      </c>
      <c r="C34" s="7" t="inlineStr">
        <is>
          <t>株式会社ﾃｽﾄｶﾅ</t>
        </is>
      </c>
      <c r="D34" s="7" t="inlineStr">
        <is>
          <t>USBメモリ 64GB</t>
        </is>
      </c>
      <c r="E34" s="8" t="n">
        <v>3</v>
      </c>
      <c r="F34" s="9" t="n">
        <v>1980</v>
      </c>
      <c r="G34" s="10">
        <f>E34*F34</f>
        <v>5940</v>
      </c>
      <c r="H34" s="8" t="n">
        <v>4277</v>
      </c>
      <c r="I34" s="11">
        <f>IF(G34=0,"",(G34-H34)/G34)</f>
        <v>0.27996632996633</v>
      </c>
      <c r="J34" s="7" t="n"/>
      <c r="K34" s="12" t="n">
        <v>46148</v>
      </c>
    </row>
    <row r="35">
      <c r="A35" s="5" t="n">
        <v>31</v>
      </c>
      <c r="B35" s="6" t="n">
        <v>46119</v>
      </c>
      <c r="C35" s="7" t="inlineStr">
        <is>
          <t>株式会社サンプル商事</t>
        </is>
      </c>
      <c r="D35" s="7" t="inlineStr">
        <is>
          <t>コピー用紙A4(500枚×5冊)</t>
        </is>
      </c>
      <c r="E35" s="8" t="n">
        <v>4</v>
      </c>
      <c r="F35" s="9" t="n">
        <v>480</v>
      </c>
      <c r="G35" s="10">
        <f>E35*F35</f>
        <v>1920</v>
      </c>
      <c r="H35" s="8" t="n">
        <v>1382</v>
      </c>
      <c r="I35" s="11">
        <f>IF(G35=0,"",(G35-H35)/G35)</f>
        <v>0.28020833333333334</v>
      </c>
      <c r="J35" s="7" t="n"/>
      <c r="K35" s="12" t="n">
        <v>46149</v>
      </c>
    </row>
    <row r="36">
      <c r="A36" s="5" t="n">
        <v>32</v>
      </c>
      <c r="B36" s="6" t="n">
        <v>46119</v>
      </c>
      <c r="C36" s="7" t="inlineStr">
        <is>
          <t>有限会社テスト工業</t>
        </is>
      </c>
      <c r="D36" s="7" t="inlineStr">
        <is>
          <t>トナーカートリッジ</t>
        </is>
      </c>
      <c r="E36" s="8" t="n">
        <v>5</v>
      </c>
      <c r="F36" s="9" t="n">
        <v>12800</v>
      </c>
      <c r="G36" s="10">
        <f>E36*F36</f>
        <v>64000</v>
      </c>
      <c r="H36" s="8" t="n">
        <v>46080</v>
      </c>
      <c r="I36" s="11">
        <f>IF(G36=0,"",(G36-H36)/G36)</f>
        <v>0.28</v>
      </c>
      <c r="J36" s="7" t="n"/>
      <c r="K36" s="12" t="n">
        <v>46149</v>
      </c>
    </row>
    <row r="37">
      <c r="A37" s="5" t="n">
        <v>33</v>
      </c>
      <c r="B37" s="6" t="n">
        <v>46119</v>
      </c>
      <c r="C37" s="7" t="inlineStr">
        <is>
          <t>合同会社見本ソリューションズ東日本支社</t>
        </is>
      </c>
      <c r="D37" s="7" t="inlineStr">
        <is>
          <t>保守サービス(年間)</t>
        </is>
      </c>
      <c r="E37" s="8" t="n">
        <v>6</v>
      </c>
      <c r="F37" s="9" t="n">
        <v>98000</v>
      </c>
      <c r="G37" s="10">
        <f>E37*F37</f>
        <v>588000</v>
      </c>
      <c r="H37" s="8" t="n">
        <v>423360</v>
      </c>
      <c r="I37" s="11">
        <f>IF(G37=0,"",(G37-H37)/G37)</f>
        <v>0.28</v>
      </c>
      <c r="J37" s="7" t="n"/>
      <c r="K37" s="12" t="n">
        <v>46149</v>
      </c>
    </row>
    <row r="38">
      <c r="A38" s="5" t="n">
        <v>34</v>
      </c>
      <c r="B38" s="6" t="n">
        <v>46119</v>
      </c>
      <c r="C38" s="7" t="inlineStr">
        <is>
          <t>サンプル物産株式会社</t>
        </is>
      </c>
      <c r="D38" s="7" t="inlineStr">
        <is>
          <t>ノートPC</t>
        </is>
      </c>
      <c r="E38" s="8" t="n">
        <v>7</v>
      </c>
      <c r="F38" s="9" t="n">
        <v>158000</v>
      </c>
      <c r="G38" s="10">
        <f>E38*F38</f>
        <v>1106000</v>
      </c>
      <c r="H38" s="8" t="n">
        <v>796320</v>
      </c>
      <c r="I38" s="11">
        <f>IF(G38=0,"",(G38-H38)/G38)</f>
        <v>0.28</v>
      </c>
      <c r="J38" s="7" t="n"/>
      <c r="K38" s="12" t="n">
        <v>46149</v>
      </c>
    </row>
    <row r="39">
      <c r="A39" s="5" t="n">
        <v>35</v>
      </c>
      <c r="B39" s="6" t="n">
        <v>46119</v>
      </c>
      <c r="C39" s="7" t="inlineStr">
        <is>
          <t>株式会社ﾃｽﾄｶﾅ</t>
        </is>
      </c>
      <c r="D39" s="7" t="inlineStr">
        <is>
          <t>USBメモリ 64GB</t>
        </is>
      </c>
      <c r="E39" s="8" t="n">
        <v>8</v>
      </c>
      <c r="F39" s="9" t="n">
        <v>1980</v>
      </c>
      <c r="G39" s="10">
        <f>E39*F39</f>
        <v>15840</v>
      </c>
      <c r="H39" s="8" t="n">
        <v>11405</v>
      </c>
      <c r="I39" s="11">
        <f>IF(G39=0,"",(G39-H39)/G39)</f>
        <v>0.27998737373737376</v>
      </c>
      <c r="J39" s="7" t="inlineStr">
        <is>
          <t>要確認</t>
        </is>
      </c>
      <c r="K39" s="12" t="n">
        <v>46149</v>
      </c>
    </row>
    <row r="40">
      <c r="A40" s="5" t="n">
        <v>36</v>
      </c>
      <c r="B40" s="6" t="n">
        <v>46120</v>
      </c>
      <c r="C40" s="7" t="inlineStr">
        <is>
          <t>株式会社サンプル商事</t>
        </is>
      </c>
      <c r="D40" s="7" t="inlineStr">
        <is>
          <t>コピー用紙A4(500枚×5冊)</t>
        </is>
      </c>
      <c r="E40" s="8" t="n">
        <v>9</v>
      </c>
      <c r="F40" s="9" t="n">
        <v>480</v>
      </c>
      <c r="G40" s="10">
        <f>E40*F40</f>
        <v>4320</v>
      </c>
      <c r="H40" s="8" t="n">
        <v>3110</v>
      </c>
      <c r="I40" s="11">
        <f>IF(G40=0,"",(G40-H40)/G40)</f>
        <v>0.2800925925925926</v>
      </c>
      <c r="J40" s="7" t="n"/>
      <c r="K40" s="12" t="n">
        <v>46150</v>
      </c>
    </row>
    <row r="41">
      <c r="A41" s="5" t="n">
        <v>37</v>
      </c>
      <c r="B41" s="6" t="n">
        <v>46120</v>
      </c>
      <c r="C41" s="7" t="inlineStr">
        <is>
          <t>有限会社テスト工業</t>
        </is>
      </c>
      <c r="D41" s="7" t="inlineStr">
        <is>
          <t>トナーカートリッジ</t>
        </is>
      </c>
      <c r="E41" s="8" t="n">
        <v>1</v>
      </c>
      <c r="F41" s="9" t="n">
        <v>12800</v>
      </c>
      <c r="G41" s="10">
        <f>E41*F41</f>
        <v>12800</v>
      </c>
      <c r="H41" s="8" t="n">
        <v>9216</v>
      </c>
      <c r="I41" s="11">
        <f>IF(G41=0,"",(G41-H41)/G41)</f>
        <v>0.28</v>
      </c>
      <c r="J41" s="7" t="n"/>
      <c r="K41" s="12" t="n">
        <v>46150</v>
      </c>
    </row>
    <row r="42">
      <c r="A42" s="5" t="n">
        <v>38</v>
      </c>
      <c r="B42" s="6" t="n">
        <v>46120</v>
      </c>
      <c r="C42" s="7" t="inlineStr">
        <is>
          <t>合同会社見本ソリューションズ東日本支社</t>
        </is>
      </c>
      <c r="D42" s="7" t="inlineStr">
        <is>
          <t>保守サービス(年間)</t>
        </is>
      </c>
      <c r="E42" s="8" t="n">
        <v>2</v>
      </c>
      <c r="F42" s="9" t="n">
        <v>98000</v>
      </c>
      <c r="G42" s="10">
        <f>E42*F42</f>
        <v>196000</v>
      </c>
      <c r="H42" s="8" t="n">
        <v>141120</v>
      </c>
      <c r="I42" s="11">
        <f>IF(G42=0,"",(G42-H42)/G42)</f>
        <v>0.28</v>
      </c>
      <c r="J42" s="7" t="n"/>
      <c r="K42" s="12" t="n">
        <v>46150</v>
      </c>
    </row>
    <row r="43">
      <c r="A43" s="5" t="n">
        <v>39</v>
      </c>
      <c r="B43" s="6" t="n">
        <v>46120</v>
      </c>
      <c r="C43" s="7" t="inlineStr">
        <is>
          <t>サンプル物産株式会社</t>
        </is>
      </c>
      <c r="D43" s="7" t="inlineStr">
        <is>
          <t>ノートPC</t>
        </is>
      </c>
      <c r="E43" s="8" t="n">
        <v>3</v>
      </c>
      <c r="F43" s="9" t="n">
        <v>158000</v>
      </c>
      <c r="G43" s="10">
        <f>E43*F43</f>
        <v>474000</v>
      </c>
      <c r="H43" s="8" t="n">
        <v>341280</v>
      </c>
      <c r="I43" s="11">
        <f>IF(G43=0,"",(G43-H43)/G43)</f>
        <v>0.28</v>
      </c>
      <c r="J43" s="7" t="n"/>
      <c r="K43" s="12" t="n">
        <v>46150</v>
      </c>
    </row>
    <row r="44">
      <c r="A44" s="5" t="n">
        <v>40</v>
      </c>
      <c r="B44" s="6" t="n">
        <v>46120</v>
      </c>
      <c r="C44" s="7" t="inlineStr">
        <is>
          <t>株式会社ﾃｽﾄｶﾅ</t>
        </is>
      </c>
      <c r="D44" s="7" t="inlineStr">
        <is>
          <t>USBメモリ 64GB</t>
        </is>
      </c>
      <c r="E44" s="8" t="n">
        <v>4</v>
      </c>
      <c r="F44" s="9" t="n">
        <v>1980</v>
      </c>
      <c r="G44" s="10">
        <f>E44*F44</f>
        <v>7920</v>
      </c>
      <c r="H44" s="8" t="n">
        <v>5702</v>
      </c>
      <c r="I44" s="11">
        <f>IF(G44=0,"",(G44-H44)/G44)</f>
        <v>0.28005050505050505</v>
      </c>
      <c r="J44" s="7" t="n"/>
      <c r="K44" s="12" t="n">
        <v>46150</v>
      </c>
    </row>
    <row r="45">
      <c r="A45" s="5" t="n">
        <v>41</v>
      </c>
      <c r="B45" s="6" t="n">
        <v>46121</v>
      </c>
      <c r="C45" s="7" t="inlineStr">
        <is>
          <t>株式会社サンプル商事</t>
        </is>
      </c>
      <c r="D45" s="7" t="inlineStr">
        <is>
          <t>コピー用紙A4(500枚×5冊)</t>
        </is>
      </c>
      <c r="E45" s="8" t="n">
        <v>5</v>
      </c>
      <c r="F45" s="9" t="n">
        <v>480</v>
      </c>
      <c r="G45" s="10">
        <f>E45*F45</f>
        <v>2400</v>
      </c>
      <c r="H45" s="8" t="n">
        <v>1728</v>
      </c>
      <c r="I45" s="11">
        <f>IF(G45=0,"",(G45-H45)/G45)</f>
        <v>0.28</v>
      </c>
      <c r="J45" s="7" t="n"/>
      <c r="K45" s="12" t="n">
        <v>46151</v>
      </c>
    </row>
    <row r="46">
      <c r="A46" s="5" t="n">
        <v>42</v>
      </c>
      <c r="B46" s="6" t="n">
        <v>46121</v>
      </c>
      <c r="C46" s="7" t="inlineStr">
        <is>
          <t>有限会社テスト工業</t>
        </is>
      </c>
      <c r="D46" s="7" t="inlineStr">
        <is>
          <t>トナーカートリッジ</t>
        </is>
      </c>
      <c r="E46" s="8" t="n">
        <v>6</v>
      </c>
      <c r="F46" s="9" t="n">
        <v>12800</v>
      </c>
      <c r="G46" s="10">
        <f>E46*F46</f>
        <v>76800</v>
      </c>
      <c r="H46" s="8" t="n">
        <v>55296</v>
      </c>
      <c r="I46" s="11">
        <f>IF(G46=0,"",(G46-H46)/G46)</f>
        <v>0.28</v>
      </c>
      <c r="J46" s="7" t="n"/>
      <c r="K46" s="12" t="n">
        <v>46151</v>
      </c>
    </row>
    <row r="47">
      <c r="A47" s="5" t="n">
        <v>43</v>
      </c>
      <c r="B47" s="6" t="n">
        <v>46121</v>
      </c>
      <c r="C47" s="7" t="inlineStr">
        <is>
          <t>合同会社見本ソリューションズ東日本支社</t>
        </is>
      </c>
      <c r="D47" s="7" t="inlineStr">
        <is>
          <t>保守サービス(年間)</t>
        </is>
      </c>
      <c r="E47" s="8" t="n">
        <v>7</v>
      </c>
      <c r="F47" s="9" t="n">
        <v>98000</v>
      </c>
      <c r="G47" s="10">
        <f>E47*F47</f>
        <v>686000</v>
      </c>
      <c r="H47" s="8" t="n">
        <v>493920</v>
      </c>
      <c r="I47" s="11">
        <f>IF(G47=0,"",(G47-H47)/G47)</f>
        <v>0.28</v>
      </c>
      <c r="J47" s="7" t="n"/>
      <c r="K47" s="12" t="n">
        <v>46151</v>
      </c>
    </row>
    <row r="48">
      <c r="A48" s="5" t="n">
        <v>44</v>
      </c>
      <c r="B48" s="6" t="n">
        <v>46121</v>
      </c>
      <c r="C48" s="7" t="inlineStr">
        <is>
          <t>サンプル物産株式会社</t>
        </is>
      </c>
      <c r="D48" s="7" t="inlineStr">
        <is>
          <t>ノートPC</t>
        </is>
      </c>
      <c r="E48" s="8" t="n">
        <v>8</v>
      </c>
      <c r="F48" s="9" t="n">
        <v>158000</v>
      </c>
      <c r="G48" s="10">
        <f>E48*F48</f>
        <v>1264000</v>
      </c>
      <c r="H48" s="8" t="n">
        <v>910080</v>
      </c>
      <c r="I48" s="11">
        <f>IF(G48=0,"",(G48-H48)/G48)</f>
        <v>0.28</v>
      </c>
      <c r="J48" s="7" t="n"/>
      <c r="K48" s="12" t="n">
        <v>46151</v>
      </c>
    </row>
    <row r="49">
      <c r="A49" s="5" t="n">
        <v>45</v>
      </c>
      <c r="B49" s="6" t="n">
        <v>46121</v>
      </c>
      <c r="C49" s="7" t="inlineStr">
        <is>
          <t>株式会社ﾃｽﾄｶﾅ</t>
        </is>
      </c>
      <c r="D49" s="7" t="inlineStr">
        <is>
          <t>USBメモリ 64GB</t>
        </is>
      </c>
      <c r="E49" s="8" t="n">
        <v>9</v>
      </c>
      <c r="F49" s="9" t="n">
        <v>1980</v>
      </c>
      <c r="G49" s="10">
        <f>E49*F49</f>
        <v>17820</v>
      </c>
      <c r="H49" s="8" t="n">
        <v>12830</v>
      </c>
      <c r="I49" s="11">
        <f>IF(G49=0,"",(G49-H49)/G49)</f>
        <v>0.28002244668911336</v>
      </c>
      <c r="J49" s="7" t="n"/>
      <c r="K49" s="12" t="n">
        <v>46151</v>
      </c>
    </row>
    <row r="50">
      <c r="A50" s="5" t="n">
        <v>46</v>
      </c>
      <c r="B50" s="6" t="n">
        <v>46122</v>
      </c>
      <c r="C50" s="7" t="inlineStr">
        <is>
          <t>株式会社サンプル商事</t>
        </is>
      </c>
      <c r="D50" s="7" t="inlineStr">
        <is>
          <t>コピー用紙A4(500枚×5冊)</t>
        </is>
      </c>
      <c r="E50" s="8" t="n">
        <v>1</v>
      </c>
      <c r="F50" s="9" t="n">
        <v>480</v>
      </c>
      <c r="G50" s="10">
        <f>E50*F50</f>
        <v>480</v>
      </c>
      <c r="H50" s="8" t="n">
        <v>346</v>
      </c>
      <c r="I50" s="11">
        <f>IF(G50=0,"",(G50-H50)/G50)</f>
        <v>0.2791666666666667</v>
      </c>
      <c r="J50" s="7" t="n"/>
      <c r="K50" s="12" t="n">
        <v>46152</v>
      </c>
    </row>
    <row r="51">
      <c r="A51" s="5" t="n">
        <v>47</v>
      </c>
      <c r="B51" s="6" t="n">
        <v>46122</v>
      </c>
      <c r="C51" s="7" t="inlineStr">
        <is>
          <t>有限会社テスト工業</t>
        </is>
      </c>
      <c r="D51" s="7" t="inlineStr">
        <is>
          <t>トナーカートリッジ</t>
        </is>
      </c>
      <c r="E51" s="8" t="n">
        <v>2</v>
      </c>
      <c r="F51" s="9" t="n">
        <v>12800</v>
      </c>
      <c r="G51" s="10">
        <f>E51*F51</f>
        <v>25600</v>
      </c>
      <c r="H51" s="8" t="n">
        <v>18432</v>
      </c>
      <c r="I51" s="11">
        <f>IF(G51=0,"",(G51-H51)/G51)</f>
        <v>0.28</v>
      </c>
      <c r="J51" s="7" t="n"/>
      <c r="K51" s="12" t="n">
        <v>46152</v>
      </c>
    </row>
    <row r="52">
      <c r="A52" s="5" t="n">
        <v>48</v>
      </c>
      <c r="B52" s="6" t="n">
        <v>46122</v>
      </c>
      <c r="C52" s="7" t="inlineStr">
        <is>
          <t>合同会社見本ソリューションズ東日本支社</t>
        </is>
      </c>
      <c r="D52" s="7" t="inlineStr">
        <is>
          <t>保守サービス(年間)</t>
        </is>
      </c>
      <c r="E52" s="8" t="n">
        <v>3</v>
      </c>
      <c r="F52" s="9" t="n">
        <v>98000</v>
      </c>
      <c r="G52" s="10">
        <f>E52*F52</f>
        <v>294000</v>
      </c>
      <c r="H52" s="8" t="n">
        <v>211680</v>
      </c>
      <c r="I52" s="11">
        <f>IF(G52=0,"",(G52-H52)/G52)</f>
        <v>0.28</v>
      </c>
      <c r="J52" s="7" t="n"/>
      <c r="K52" s="12" t="n">
        <v>46152</v>
      </c>
    </row>
    <row r="53">
      <c r="A53" s="5" t="n">
        <v>49</v>
      </c>
      <c r="B53" s="6" t="n">
        <v>46122</v>
      </c>
      <c r="C53" s="7" t="inlineStr">
        <is>
          <t>サンプル物産株式会社</t>
        </is>
      </c>
      <c r="D53" s="7" t="inlineStr">
        <is>
          <t>ノートPC</t>
        </is>
      </c>
      <c r="E53" s="8" t="n">
        <v>4</v>
      </c>
      <c r="F53" s="9" t="n">
        <v>158000</v>
      </c>
      <c r="G53" s="10">
        <f>E53*F53</f>
        <v>632000</v>
      </c>
      <c r="H53" s="8" t="n">
        <v>455040</v>
      </c>
      <c r="I53" s="11">
        <f>IF(G53=0,"",(G53-H53)/G53)</f>
        <v>0.28</v>
      </c>
      <c r="J53" s="7" t="n"/>
      <c r="K53" s="12" t="n">
        <v>46152</v>
      </c>
    </row>
    <row r="54" hidden="1">
      <c r="A54" s="5" t="n">
        <v>50</v>
      </c>
      <c r="B54" s="6" t="n">
        <v>46122</v>
      </c>
      <c r="C54" s="7" t="inlineStr">
        <is>
          <t>株式会社ﾃｽﾄｶﾅ</t>
        </is>
      </c>
      <c r="D54" s="7" t="inlineStr">
        <is>
          <t>USBメモリ 64GB</t>
        </is>
      </c>
      <c r="E54" s="8" t="n">
        <v>5</v>
      </c>
      <c r="F54" s="9" t="n">
        <v>1980</v>
      </c>
      <c r="G54" s="10">
        <f>E54*F54</f>
        <v>9900</v>
      </c>
      <c r="H54" s="8" t="n">
        <v>7128</v>
      </c>
      <c r="I54" s="11">
        <f>IF(G54=0,"",(G54-H54)/G54)</f>
        <v>0.28</v>
      </c>
      <c r="J54" s="7" t="n"/>
      <c r="K54" s="12" t="n">
        <v>46152</v>
      </c>
    </row>
    <row r="55">
      <c r="A55" s="5" t="n">
        <v>51</v>
      </c>
      <c r="B55" s="6" t="n">
        <v>46123</v>
      </c>
      <c r="C55" s="7" t="inlineStr">
        <is>
          <t>株式会社サンプル商事</t>
        </is>
      </c>
      <c r="D55" s="7" t="inlineStr">
        <is>
          <t>コピー用紙A4(500枚×5冊)</t>
        </is>
      </c>
      <c r="E55" s="8" t="n">
        <v>6</v>
      </c>
      <c r="F55" s="9" t="n">
        <v>480</v>
      </c>
      <c r="G55" s="10">
        <f>E55*F55</f>
        <v>2880</v>
      </c>
      <c r="H55" s="8" t="n">
        <v>2074</v>
      </c>
      <c r="I55" s="11">
        <f>IF(G55=0,"",(G55-H55)/G55)</f>
        <v>0.2798611111111111</v>
      </c>
      <c r="J55" s="7" t="n"/>
      <c r="K55" s="12" t="n">
        <v>46153</v>
      </c>
    </row>
    <row r="56">
      <c r="A56" s="5" t="n">
        <v>52</v>
      </c>
      <c r="B56" s="6" t="n">
        <v>46123</v>
      </c>
      <c r="C56" s="7" t="inlineStr">
        <is>
          <t>有限会社テスト工業</t>
        </is>
      </c>
      <c r="D56" s="7" t="inlineStr">
        <is>
          <t>トナーカートリッジ</t>
        </is>
      </c>
      <c r="E56" s="8" t="n">
        <v>7</v>
      </c>
      <c r="F56" s="9" t="n">
        <v>12800</v>
      </c>
      <c r="G56" s="10">
        <f>E56*F56</f>
        <v>89600</v>
      </c>
      <c r="H56" s="8" t="n">
        <v>64512</v>
      </c>
      <c r="I56" s="11">
        <f>IF(G56=0,"",(G56-H56)/G56)</f>
        <v>0.28</v>
      </c>
      <c r="J56" s="7" t="inlineStr">
        <is>
          <t>要確認</t>
        </is>
      </c>
      <c r="K56" s="12" t="n">
        <v>46153</v>
      </c>
    </row>
    <row r="57">
      <c r="A57" s="5" t="n">
        <v>53</v>
      </c>
      <c r="B57" s="6" t="n">
        <v>46123</v>
      </c>
      <c r="C57" s="7" t="inlineStr">
        <is>
          <t>合同会社見本ソリューションズ東日本支社</t>
        </is>
      </c>
      <c r="D57" s="7" t="inlineStr">
        <is>
          <t>保守サービス(年間)</t>
        </is>
      </c>
      <c r="E57" s="8" t="n">
        <v>8</v>
      </c>
      <c r="F57" s="9" t="n">
        <v>98000</v>
      </c>
      <c r="G57" s="10">
        <f>E57*F57</f>
        <v>784000</v>
      </c>
      <c r="H57" s="8" t="n">
        <v>564480</v>
      </c>
      <c r="I57" s="11">
        <f>IF(G57=0,"",(G57-H57)/G57)</f>
        <v>0.28</v>
      </c>
      <c r="J57" s="7" t="n"/>
      <c r="K57" s="12" t="n">
        <v>46153</v>
      </c>
    </row>
    <row r="58">
      <c r="A58" s="5" t="n">
        <v>54</v>
      </c>
      <c r="B58" s="6" t="n">
        <v>46123</v>
      </c>
      <c r="C58" s="7" t="inlineStr">
        <is>
          <t>サンプル物産株式会社</t>
        </is>
      </c>
      <c r="D58" s="7" t="inlineStr">
        <is>
          <t>ノートPC</t>
        </is>
      </c>
      <c r="E58" s="8" t="n">
        <v>9</v>
      </c>
      <c r="F58" s="9" t="n">
        <v>158000</v>
      </c>
      <c r="G58" s="10">
        <f>E58*F58</f>
        <v>1422000</v>
      </c>
      <c r="H58" s="8" t="n">
        <v>1023840</v>
      </c>
      <c r="I58" s="11">
        <f>IF(G58=0,"",(G58-H58)/G58)</f>
        <v>0.28</v>
      </c>
      <c r="J58" s="7" t="n"/>
      <c r="K58" s="12" t="n">
        <v>46153</v>
      </c>
    </row>
    <row r="59">
      <c r="A59" s="5" t="n">
        <v>55</v>
      </c>
      <c r="B59" s="6" t="n">
        <v>46123</v>
      </c>
      <c r="C59" s="7" t="inlineStr">
        <is>
          <t>株式会社ﾃｽﾄｶﾅ</t>
        </is>
      </c>
      <c r="D59" s="7" t="inlineStr">
        <is>
          <t>USBメモリ 64GB</t>
        </is>
      </c>
      <c r="E59" s="8" t="n">
        <v>1</v>
      </c>
      <c r="F59" s="9" t="n">
        <v>1980</v>
      </c>
      <c r="G59" s="10">
        <f>E59*F59</f>
        <v>1980</v>
      </c>
      <c r="H59" s="8" t="n">
        <v>1426</v>
      </c>
      <c r="I59" s="11">
        <f>IF(G59=0,"",(G59-H59)/G59)</f>
        <v>0.2797979797979798</v>
      </c>
      <c r="J59" s="7" t="n"/>
      <c r="K59" s="12" t="n">
        <v>46153</v>
      </c>
    </row>
    <row r="60">
      <c r="A60" s="5" t="n">
        <v>56</v>
      </c>
      <c r="B60" s="6" t="n">
        <v>46124</v>
      </c>
      <c r="C60" s="7" t="inlineStr">
        <is>
          <t>株式会社サンプル商事</t>
        </is>
      </c>
      <c r="D60" s="7" t="inlineStr">
        <is>
          <t>コピー用紙A4(500枚×5冊)</t>
        </is>
      </c>
      <c r="E60" s="8" t="n">
        <v>2</v>
      </c>
      <c r="F60" s="9" t="n">
        <v>480</v>
      </c>
      <c r="G60" s="10">
        <f>E60*F60</f>
        <v>960</v>
      </c>
      <c r="H60" s="8" t="n">
        <v>691</v>
      </c>
      <c r="I60" s="11">
        <f>IF(G60=0,"",(G60-H60)/G60)</f>
        <v>0.28020833333333334</v>
      </c>
      <c r="J60" s="7" t="n"/>
      <c r="K60" s="12" t="n">
        <v>46154</v>
      </c>
    </row>
    <row r="61">
      <c r="A61" s="5" t="n">
        <v>57</v>
      </c>
      <c r="B61" s="6" t="n">
        <v>46124</v>
      </c>
      <c r="C61" s="7" t="inlineStr">
        <is>
          <t>有限会社テスト工業</t>
        </is>
      </c>
      <c r="D61" s="7" t="inlineStr">
        <is>
          <t>トナーカートリッジ</t>
        </is>
      </c>
      <c r="E61" s="8" t="n">
        <v>3</v>
      </c>
      <c r="F61" s="9" t="n">
        <v>12800</v>
      </c>
      <c r="G61" s="10">
        <f>E61*F61</f>
        <v>38400</v>
      </c>
      <c r="H61" s="8" t="n">
        <v>27648</v>
      </c>
      <c r="I61" s="11">
        <f>IF(G61=0,"",(G61-H61)/G61)</f>
        <v>0.28</v>
      </c>
      <c r="J61" s="7" t="n"/>
      <c r="K61" s="12" t="n">
        <v>46154</v>
      </c>
    </row>
    <row r="62">
      <c r="A62" s="5" t="n">
        <v>58</v>
      </c>
      <c r="B62" s="6" t="n">
        <v>46124</v>
      </c>
      <c r="C62" s="7" t="inlineStr">
        <is>
          <t>合同会社見本ソリューションズ東日本支社</t>
        </is>
      </c>
      <c r="D62" s="7" t="inlineStr">
        <is>
          <t>保守サービス(年間)</t>
        </is>
      </c>
      <c r="E62" s="8" t="n">
        <v>4</v>
      </c>
      <c r="F62" s="9" t="n">
        <v>98000</v>
      </c>
      <c r="G62" s="10">
        <f>E62*F62</f>
        <v>392000</v>
      </c>
      <c r="H62" s="8" t="n">
        <v>282240</v>
      </c>
      <c r="I62" s="11">
        <f>IF(G62=0,"",(G62-H62)/G62)</f>
        <v>0.28</v>
      </c>
      <c r="J62" s="7" t="n"/>
      <c r="K62" s="12" t="n">
        <v>46154</v>
      </c>
    </row>
    <row r="63">
      <c r="A63" s="5" t="n">
        <v>59</v>
      </c>
      <c r="B63" s="6" t="n">
        <v>46124</v>
      </c>
      <c r="C63" s="7" t="inlineStr">
        <is>
          <t>サンプル物産株式会社</t>
        </is>
      </c>
      <c r="D63" s="7" t="inlineStr">
        <is>
          <t>ノートPC</t>
        </is>
      </c>
      <c r="E63" s="8" t="n">
        <v>5</v>
      </c>
      <c r="F63" s="9" t="n">
        <v>158000</v>
      </c>
      <c r="G63" s="10">
        <f>E63*F63</f>
        <v>790000</v>
      </c>
      <c r="H63" s="8" t="n">
        <v>568800</v>
      </c>
      <c r="I63" s="11">
        <f>IF(G63=0,"",(G63-H63)/G63)</f>
        <v>0.28</v>
      </c>
      <c r="J63" s="7" t="n"/>
      <c r="K63" s="12" t="n">
        <v>46154</v>
      </c>
    </row>
    <row r="64">
      <c r="A64" s="5" t="n">
        <v>60</v>
      </c>
      <c r="B64" s="6" t="n">
        <v>46124</v>
      </c>
      <c r="C64" s="7" t="inlineStr">
        <is>
          <t>株式会社ﾃｽﾄｶﾅ</t>
        </is>
      </c>
      <c r="D64" s="7" t="inlineStr">
        <is>
          <t>USBメモリ 64GB</t>
        </is>
      </c>
      <c r="E64" s="8" t="n">
        <v>6</v>
      </c>
      <c r="F64" s="9" t="n">
        <v>1980</v>
      </c>
      <c r="G64" s="10">
        <f>E64*F64</f>
        <v>11880</v>
      </c>
      <c r="H64" s="8" t="n">
        <v>8554</v>
      </c>
      <c r="I64" s="11">
        <f>IF(G64=0,"",(G64-H64)/G64)</f>
        <v>0.27996632996633</v>
      </c>
      <c r="J64" s="7" t="n"/>
      <c r="K64" s="12" t="n">
        <v>46154</v>
      </c>
    </row>
    <row r="65">
      <c r="A65" s="5" t="n">
        <v>61</v>
      </c>
      <c r="B65" s="6" t="n">
        <v>46125</v>
      </c>
      <c r="C65" s="7" t="inlineStr">
        <is>
          <t>株式会社サンプル商事</t>
        </is>
      </c>
      <c r="D65" s="7" t="inlineStr">
        <is>
          <t>コピー用紙A4(500枚×5冊)</t>
        </is>
      </c>
      <c r="E65" s="8" t="n">
        <v>7</v>
      </c>
      <c r="F65" s="9" t="n">
        <v>480</v>
      </c>
      <c r="G65" s="10">
        <f>E65*F65</f>
        <v>3360</v>
      </c>
      <c r="H65" s="8" t="n">
        <v>2419</v>
      </c>
      <c r="I65" s="11">
        <f>IF(G65=0,"",(G65-H65)/G65)</f>
        <v>0.2800595238095238</v>
      </c>
      <c r="J65" s="7" t="n"/>
      <c r="K65" s="12" t="n">
        <v>46155</v>
      </c>
    </row>
    <row r="66">
      <c r="A66" s="5" t="n">
        <v>62</v>
      </c>
      <c r="B66" s="6" t="n">
        <v>46125</v>
      </c>
      <c r="C66" s="7" t="inlineStr">
        <is>
          <t>有限会社テスト工業</t>
        </is>
      </c>
      <c r="D66" s="7" t="inlineStr">
        <is>
          <t>トナーカートリッジ</t>
        </is>
      </c>
      <c r="E66" s="8" t="n">
        <v>8</v>
      </c>
      <c r="F66" s="9" t="n">
        <v>12800</v>
      </c>
      <c r="G66" s="10">
        <f>E66*F66</f>
        <v>102400</v>
      </c>
      <c r="H66" s="8" t="n">
        <v>73728</v>
      </c>
      <c r="I66" s="11">
        <f>IF(G66=0,"",(G66-H66)/G66)</f>
        <v>0.28</v>
      </c>
      <c r="J66" s="7" t="n"/>
      <c r="K66" s="12" t="n">
        <v>46155</v>
      </c>
    </row>
    <row r="67">
      <c r="A67" s="5" t="n">
        <v>63</v>
      </c>
      <c r="B67" s="6" t="n">
        <v>46125</v>
      </c>
      <c r="C67" s="7" t="inlineStr">
        <is>
          <t>合同会社見本ソリューションズ東日本支社</t>
        </is>
      </c>
      <c r="D67" s="7" t="inlineStr">
        <is>
          <t>保守サービス(年間)</t>
        </is>
      </c>
      <c r="E67" s="8" t="n">
        <v>9</v>
      </c>
      <c r="F67" s="9" t="n">
        <v>98000</v>
      </c>
      <c r="G67" s="10">
        <f>E67*F67</f>
        <v>882000</v>
      </c>
      <c r="H67" s="8" t="n">
        <v>635040</v>
      </c>
      <c r="I67" s="11">
        <f>IF(G67=0,"",(G67-H67)/G67)</f>
        <v>0.28</v>
      </c>
      <c r="J67" s="7" t="n"/>
      <c r="K67" s="12" t="n">
        <v>46155</v>
      </c>
    </row>
    <row r="68">
      <c r="A68" s="5" t="n">
        <v>64</v>
      </c>
      <c r="B68" s="6" t="n">
        <v>46125</v>
      </c>
      <c r="C68" s="7" t="inlineStr">
        <is>
          <t>サンプル物産株式会社</t>
        </is>
      </c>
      <c r="D68" s="7" t="inlineStr">
        <is>
          <t>ノートPC</t>
        </is>
      </c>
      <c r="E68" s="8" t="n">
        <v>1</v>
      </c>
      <c r="F68" s="9" t="n">
        <v>158000</v>
      </c>
      <c r="G68" s="10">
        <f>E68*F68</f>
        <v>158000</v>
      </c>
      <c r="H68" s="8" t="n">
        <v>113760</v>
      </c>
      <c r="I68" s="11">
        <f>IF(G68=0,"",(G68-H68)/G68)</f>
        <v>0.28</v>
      </c>
      <c r="J68" s="7" t="n"/>
      <c r="K68" s="12" t="n">
        <v>46155</v>
      </c>
    </row>
    <row r="69">
      <c r="A69" s="5" t="n">
        <v>65</v>
      </c>
      <c r="B69" s="6" t="n">
        <v>46125</v>
      </c>
      <c r="C69" s="7" t="inlineStr">
        <is>
          <t>株式会社ﾃｽﾄｶﾅ</t>
        </is>
      </c>
      <c r="D69" s="7" t="inlineStr">
        <is>
          <t>USBメモリ 64GB</t>
        </is>
      </c>
      <c r="E69" s="8" t="n">
        <v>2</v>
      </c>
      <c r="F69" s="9" t="n">
        <v>1980</v>
      </c>
      <c r="G69" s="10">
        <f>E69*F69</f>
        <v>3960</v>
      </c>
      <c r="H69" s="8" t="n">
        <v>2851</v>
      </c>
      <c r="I69" s="11">
        <f>IF(G69=0,"",(G69-H69)/G69)</f>
        <v>0.28005050505050505</v>
      </c>
      <c r="J69" s="7" t="n"/>
      <c r="K69" s="12" t="n">
        <v>46155</v>
      </c>
    </row>
    <row r="70">
      <c r="A70" s="5" t="n">
        <v>66</v>
      </c>
      <c r="B70" s="6" t="n">
        <v>46126</v>
      </c>
      <c r="C70" s="7" t="inlineStr">
        <is>
          <t>株式会社サンプル商事</t>
        </is>
      </c>
      <c r="D70" s="7" t="inlineStr">
        <is>
          <t>コピー用紙A4(500枚×5冊)</t>
        </is>
      </c>
      <c r="E70" s="8" t="n">
        <v>3</v>
      </c>
      <c r="F70" s="9" t="n">
        <v>480</v>
      </c>
      <c r="G70" s="10">
        <f>E70*F70</f>
        <v>1440</v>
      </c>
      <c r="H70" s="8" t="n">
        <v>1037</v>
      </c>
      <c r="I70" s="11">
        <f>IF(G70=0,"",(G70-H70)/G70)</f>
        <v>0.2798611111111111</v>
      </c>
      <c r="J70" s="7" t="n"/>
      <c r="K70" s="12" t="n">
        <v>46156</v>
      </c>
    </row>
    <row r="71">
      <c r="A71" s="5" t="n">
        <v>67</v>
      </c>
      <c r="B71" s="6" t="n">
        <v>46126</v>
      </c>
      <c r="C71" s="7" t="inlineStr">
        <is>
          <t>有限会社テスト工業</t>
        </is>
      </c>
      <c r="D71" s="7" t="inlineStr">
        <is>
          <t>トナーカートリッジ</t>
        </is>
      </c>
      <c r="E71" s="8" t="n">
        <v>4</v>
      </c>
      <c r="F71" s="9" t="n">
        <v>12800</v>
      </c>
      <c r="G71" s="10">
        <f>E71*F71</f>
        <v>51200</v>
      </c>
      <c r="H71" s="8" t="n">
        <v>36864</v>
      </c>
      <c r="I71" s="11">
        <f>IF(G71=0,"",(G71-H71)/G71)</f>
        <v>0.28</v>
      </c>
      <c r="J71" s="7" t="n"/>
      <c r="K71" s="12" t="n">
        <v>46156</v>
      </c>
    </row>
    <row r="72">
      <c r="A72" s="5" t="n">
        <v>68</v>
      </c>
      <c r="B72" s="6" t="n">
        <v>46126</v>
      </c>
      <c r="C72" s="7" t="inlineStr">
        <is>
          <t>合同会社見本ソリューションズ東日本支社</t>
        </is>
      </c>
      <c r="D72" s="7" t="inlineStr">
        <is>
          <t>保守サービス(年間)</t>
        </is>
      </c>
      <c r="E72" s="8" t="n">
        <v>5</v>
      </c>
      <c r="F72" s="9" t="n">
        <v>98000</v>
      </c>
      <c r="G72" s="10">
        <f>E72*F72</f>
        <v>490000</v>
      </c>
      <c r="H72" s="8" t="n">
        <v>352800</v>
      </c>
      <c r="I72" s="11">
        <f>IF(G72=0,"",(G72-H72)/G72)</f>
        <v>0.28</v>
      </c>
      <c r="J72" s="7" t="n"/>
      <c r="K72" s="12" t="n">
        <v>46156</v>
      </c>
    </row>
    <row r="73">
      <c r="A73" s="5" t="n">
        <v>69</v>
      </c>
      <c r="B73" s="6" t="n">
        <v>46126</v>
      </c>
      <c r="C73" s="7" t="inlineStr">
        <is>
          <t>サンプル物産株式会社</t>
        </is>
      </c>
      <c r="D73" s="7" t="inlineStr">
        <is>
          <t>ノートPC</t>
        </is>
      </c>
      <c r="E73" s="8" t="n">
        <v>6</v>
      </c>
      <c r="F73" s="9" t="n">
        <v>158000</v>
      </c>
      <c r="G73" s="10">
        <f>E73*F73</f>
        <v>948000</v>
      </c>
      <c r="H73" s="8" t="n">
        <v>682560</v>
      </c>
      <c r="I73" s="11">
        <f>IF(G73=0,"",(G73-H73)/G73)</f>
        <v>0.28</v>
      </c>
      <c r="J73" s="7" t="inlineStr">
        <is>
          <t>要確認</t>
        </is>
      </c>
      <c r="K73" s="12" t="n">
        <v>46156</v>
      </c>
    </row>
    <row r="74">
      <c r="A74" s="5" t="n">
        <v>70</v>
      </c>
      <c r="B74" s="6" t="n">
        <v>46126</v>
      </c>
      <c r="C74" s="7" t="inlineStr">
        <is>
          <t>株式会社ﾃｽﾄｶﾅ</t>
        </is>
      </c>
      <c r="D74" s="7" t="inlineStr">
        <is>
          <t>USBメモリ 64GB</t>
        </is>
      </c>
      <c r="E74" s="8" t="n">
        <v>7</v>
      </c>
      <c r="F74" s="9" t="n">
        <v>1980</v>
      </c>
      <c r="G74" s="10">
        <f>E74*F74</f>
        <v>13860</v>
      </c>
      <c r="H74" s="8" t="n">
        <v>9979</v>
      </c>
      <c r="I74" s="11">
        <f>IF(G74=0,"",(G74-H74)/G74)</f>
        <v>0.28001443001443</v>
      </c>
      <c r="J74" s="7" t="n"/>
      <c r="K74" s="12" t="n">
        <v>46156</v>
      </c>
    </row>
    <row r="75">
      <c r="A75" s="5" t="n">
        <v>71</v>
      </c>
      <c r="B75" s="6" t="n">
        <v>46127</v>
      </c>
      <c r="C75" s="7" t="inlineStr">
        <is>
          <t>株式会社サンプル商事</t>
        </is>
      </c>
      <c r="D75" s="7" t="inlineStr">
        <is>
          <t>コピー用紙A4(500枚×5冊)</t>
        </is>
      </c>
      <c r="E75" s="8" t="n">
        <v>8</v>
      </c>
      <c r="F75" s="9" t="n">
        <v>480</v>
      </c>
      <c r="G75" s="10">
        <f>E75*F75</f>
        <v>3840</v>
      </c>
      <c r="H75" s="8" t="n">
        <v>2765</v>
      </c>
      <c r="I75" s="11">
        <f>IF(G75=0,"",(G75-H75)/G75)</f>
        <v>0.2799479166666667</v>
      </c>
      <c r="J75" s="7" t="n"/>
      <c r="K75" s="12" t="n">
        <v>46157</v>
      </c>
    </row>
    <row r="76">
      <c r="A76" s="5" t="n">
        <v>72</v>
      </c>
      <c r="B76" s="6" t="n">
        <v>46127</v>
      </c>
      <c r="C76" s="7" t="inlineStr">
        <is>
          <t>有限会社テスト工業</t>
        </is>
      </c>
      <c r="D76" s="7" t="inlineStr">
        <is>
          <t>トナーカートリッジ</t>
        </is>
      </c>
      <c r="E76" s="8" t="n">
        <v>9</v>
      </c>
      <c r="F76" s="9" t="n">
        <v>12800</v>
      </c>
      <c r="G76" s="10">
        <f>E76*F76</f>
        <v>115200</v>
      </c>
      <c r="H76" s="8" t="n">
        <v>82944</v>
      </c>
      <c r="I76" s="11">
        <f>IF(G76=0,"",(G76-H76)/G76)</f>
        <v>0.28</v>
      </c>
      <c r="J76" s="7" t="n"/>
      <c r="K76" s="12" t="n">
        <v>46157</v>
      </c>
    </row>
    <row r="77">
      <c r="A77" s="5" t="n">
        <v>73</v>
      </c>
      <c r="B77" s="6" t="n">
        <v>46127</v>
      </c>
      <c r="C77" s="7" t="inlineStr">
        <is>
          <t>合同会社見本ソリューションズ東日本支社</t>
        </is>
      </c>
      <c r="D77" s="7" t="inlineStr">
        <is>
          <t>保守サービス(年間)</t>
        </is>
      </c>
      <c r="E77" s="8" t="n">
        <v>1</v>
      </c>
      <c r="F77" s="9" t="n">
        <v>98000</v>
      </c>
      <c r="G77" s="10">
        <f>E77*F77</f>
        <v>98000</v>
      </c>
      <c r="H77" s="8" t="n">
        <v>70560</v>
      </c>
      <c r="I77" s="11">
        <f>IF(G77=0,"",(G77-H77)/G77)</f>
        <v>0.28</v>
      </c>
      <c r="J77" s="7" t="n"/>
      <c r="K77" s="12" t="n">
        <v>46157</v>
      </c>
    </row>
    <row r="78">
      <c r="A78" s="5" t="n">
        <v>74</v>
      </c>
      <c r="B78" s="6" t="n">
        <v>46127</v>
      </c>
      <c r="C78" s="7" t="inlineStr">
        <is>
          <t>サンプル物産株式会社</t>
        </is>
      </c>
      <c r="D78" s="7" t="inlineStr">
        <is>
          <t>ノートPC</t>
        </is>
      </c>
      <c r="E78" s="8" t="n">
        <v>2</v>
      </c>
      <c r="F78" s="9" t="n">
        <v>158000</v>
      </c>
      <c r="G78" s="10">
        <f>E78*F78</f>
        <v>316000</v>
      </c>
      <c r="H78" s="8" t="n">
        <v>227520</v>
      </c>
      <c r="I78" s="11">
        <f>IF(G78=0,"",(G78-H78)/G78)</f>
        <v>0.28</v>
      </c>
      <c r="J78" s="7" t="n"/>
      <c r="K78" s="12" t="n">
        <v>46157</v>
      </c>
    </row>
    <row r="79" hidden="1">
      <c r="A79" s="5" t="n">
        <v>75</v>
      </c>
      <c r="B79" s="6" t="n">
        <v>46127</v>
      </c>
      <c r="C79" s="7" t="inlineStr">
        <is>
          <t>株式会社ﾃｽﾄｶﾅ</t>
        </is>
      </c>
      <c r="D79" s="7" t="inlineStr">
        <is>
          <t>USBメモリ 64GB</t>
        </is>
      </c>
      <c r="E79" s="8" t="n">
        <v>3</v>
      </c>
      <c r="F79" s="9" t="n">
        <v>1980</v>
      </c>
      <c r="G79" s="10">
        <f>E79*F79</f>
        <v>5940</v>
      </c>
      <c r="H79" s="8" t="n">
        <v>4277</v>
      </c>
      <c r="I79" s="11">
        <f>IF(G79=0,"",(G79-H79)/G79)</f>
        <v>0.27996632996633</v>
      </c>
      <c r="J79" s="7" t="n"/>
      <c r="K79" s="12" t="n">
        <v>46157</v>
      </c>
    </row>
    <row r="80">
      <c r="A80" s="5" t="n">
        <v>76</v>
      </c>
      <c r="B80" s="6" t="n">
        <v>46128</v>
      </c>
      <c r="C80" s="7" t="inlineStr">
        <is>
          <t>株式会社サンプル商事</t>
        </is>
      </c>
      <c r="D80" s="7" t="inlineStr">
        <is>
          <t>コピー用紙A4(500枚×5冊)</t>
        </is>
      </c>
      <c r="E80" s="8" t="n">
        <v>4</v>
      </c>
      <c r="F80" s="9" t="n">
        <v>480</v>
      </c>
      <c r="G80" s="10">
        <f>E80*F80</f>
        <v>1920</v>
      </c>
      <c r="H80" s="8" t="n">
        <v>1382</v>
      </c>
      <c r="I80" s="11">
        <f>IF(G80=0,"",(G80-H80)/G80)</f>
        <v>0.28020833333333334</v>
      </c>
      <c r="J80" s="7" t="n"/>
      <c r="K80" s="12" t="n">
        <v>46158</v>
      </c>
    </row>
    <row r="81">
      <c r="A81" s="5" t="n">
        <v>77</v>
      </c>
      <c r="B81" s="6" t="n">
        <v>46128</v>
      </c>
      <c r="C81" s="7" t="inlineStr">
        <is>
          <t>有限会社テスト工業</t>
        </is>
      </c>
      <c r="D81" s="7" t="inlineStr">
        <is>
          <t>トナーカートリッジ</t>
        </is>
      </c>
      <c r="E81" s="8" t="n">
        <v>5</v>
      </c>
      <c r="F81" s="9" t="n">
        <v>12800</v>
      </c>
      <c r="G81" s="10">
        <f>E81*F81</f>
        <v>64000</v>
      </c>
      <c r="H81" s="8" t="n">
        <v>46080</v>
      </c>
      <c r="I81" s="11">
        <f>IF(G81=0,"",(G81-H81)/G81)</f>
        <v>0.28</v>
      </c>
      <c r="J81" s="7" t="n"/>
      <c r="K81" s="12" t="n">
        <v>46158</v>
      </c>
    </row>
    <row r="82">
      <c r="A82" s="5" t="n">
        <v>78</v>
      </c>
      <c r="B82" s="6" t="n">
        <v>46128</v>
      </c>
      <c r="C82" s="7" t="inlineStr">
        <is>
          <t>合同会社見本ソリューションズ東日本支社</t>
        </is>
      </c>
      <c r="D82" s="7" t="inlineStr">
        <is>
          <t>保守サービス(年間)</t>
        </is>
      </c>
      <c r="E82" s="8" t="n">
        <v>6</v>
      </c>
      <c r="F82" s="9" t="n">
        <v>98000</v>
      </c>
      <c r="G82" s="10">
        <f>E82*F82</f>
        <v>588000</v>
      </c>
      <c r="H82" s="8" t="n">
        <v>423360</v>
      </c>
      <c r="I82" s="11">
        <f>IF(G82=0,"",(G82-H82)/G82)</f>
        <v>0.28</v>
      </c>
      <c r="J82" s="7" t="n"/>
      <c r="K82" s="12" t="n">
        <v>46158</v>
      </c>
    </row>
    <row r="83">
      <c r="A83" s="5" t="n">
        <v>79</v>
      </c>
      <c r="B83" s="6" t="n">
        <v>46128</v>
      </c>
      <c r="C83" s="7" t="inlineStr">
        <is>
          <t>サンプル物産株式会社</t>
        </is>
      </c>
      <c r="D83" s="7" t="inlineStr">
        <is>
          <t>ノートPC</t>
        </is>
      </c>
      <c r="E83" s="8" t="n">
        <v>7</v>
      </c>
      <c r="F83" s="9" t="n">
        <v>158000</v>
      </c>
      <c r="G83" s="10">
        <f>E83*F83</f>
        <v>1106000</v>
      </c>
      <c r="H83" s="8" t="n">
        <v>796320</v>
      </c>
      <c r="I83" s="11">
        <f>IF(G83=0,"",(G83-H83)/G83)</f>
        <v>0.28</v>
      </c>
      <c r="J83" s="7" t="n"/>
      <c r="K83" s="12" t="n">
        <v>46158</v>
      </c>
    </row>
    <row r="84">
      <c r="A84" s="5" t="n">
        <v>80</v>
      </c>
      <c r="B84" s="6" t="n">
        <v>46128</v>
      </c>
      <c r="C84" s="7" t="inlineStr">
        <is>
          <t>株式会社ﾃｽﾄｶﾅ</t>
        </is>
      </c>
      <c r="D84" s="7" t="inlineStr">
        <is>
          <t>USBメモリ 64GB</t>
        </is>
      </c>
      <c r="E84" s="8" t="n">
        <v>8</v>
      </c>
      <c r="F84" s="9" t="n">
        <v>1980</v>
      </c>
      <c r="G84" s="10">
        <f>E84*F84</f>
        <v>15840</v>
      </c>
      <c r="H84" s="8" t="n">
        <v>11405</v>
      </c>
      <c r="I84" s="11">
        <f>IF(G84=0,"",(G84-H84)/G84)</f>
        <v>0.27998737373737376</v>
      </c>
      <c r="J84" s="7" t="n"/>
      <c r="K84" s="12" t="n">
        <v>46158</v>
      </c>
    </row>
    <row r="85">
      <c r="A85" s="5" t="n">
        <v>81</v>
      </c>
      <c r="B85" s="6" t="n">
        <v>46129</v>
      </c>
      <c r="C85" s="7" t="inlineStr">
        <is>
          <t>株式会社サンプル商事</t>
        </is>
      </c>
      <c r="D85" s="7" t="inlineStr">
        <is>
          <t>コピー用紙A4(500枚×5冊)</t>
        </is>
      </c>
      <c r="E85" s="8" t="n">
        <v>9</v>
      </c>
      <c r="F85" s="9" t="n">
        <v>480</v>
      </c>
      <c r="G85" s="10">
        <f>E85*F85</f>
        <v>4320</v>
      </c>
      <c r="H85" s="8" t="n">
        <v>3110</v>
      </c>
      <c r="I85" s="11">
        <f>IF(G85=0,"",(G85-H85)/G85)</f>
        <v>0.2800925925925926</v>
      </c>
      <c r="J85" s="7" t="n"/>
      <c r="K85" s="12" t="n">
        <v>46159</v>
      </c>
    </row>
    <row r="86">
      <c r="A86" s="5" t="n">
        <v>82</v>
      </c>
      <c r="B86" s="6" t="n">
        <v>46129</v>
      </c>
      <c r="C86" s="7" t="inlineStr">
        <is>
          <t>有限会社テスト工業</t>
        </is>
      </c>
      <c r="D86" s="7" t="inlineStr">
        <is>
          <t>トナーカートリッジ</t>
        </is>
      </c>
      <c r="E86" s="8" t="n">
        <v>1</v>
      </c>
      <c r="F86" s="9" t="n">
        <v>12800</v>
      </c>
      <c r="G86" s="10">
        <f>E86*F86</f>
        <v>12800</v>
      </c>
      <c r="H86" s="8" t="n">
        <v>9216</v>
      </c>
      <c r="I86" s="11">
        <f>IF(G86=0,"",(G86-H86)/G86)</f>
        <v>0.28</v>
      </c>
      <c r="J86" s="7" t="n"/>
      <c r="K86" s="12" t="n">
        <v>46159</v>
      </c>
    </row>
    <row r="87">
      <c r="A87" s="5" t="n">
        <v>83</v>
      </c>
      <c r="B87" s="6" t="n">
        <v>46129</v>
      </c>
      <c r="C87" s="7" t="inlineStr">
        <is>
          <t>合同会社見本ソリューションズ東日本支社</t>
        </is>
      </c>
      <c r="D87" s="7" t="inlineStr">
        <is>
          <t>保守サービス(年間)</t>
        </is>
      </c>
      <c r="E87" s="8" t="n">
        <v>2</v>
      </c>
      <c r="F87" s="9" t="n">
        <v>98000</v>
      </c>
      <c r="G87" s="10">
        <f>E87*F87</f>
        <v>196000</v>
      </c>
      <c r="H87" s="8" t="n">
        <v>141120</v>
      </c>
      <c r="I87" s="11">
        <f>IF(G87=0,"",(G87-H87)/G87)</f>
        <v>0.28</v>
      </c>
      <c r="J87" s="7" t="n"/>
      <c r="K87" s="12" t="n">
        <v>46159</v>
      </c>
    </row>
    <row r="88">
      <c r="A88" s="5" t="n">
        <v>84</v>
      </c>
      <c r="B88" s="6" t="n">
        <v>46129</v>
      </c>
      <c r="C88" s="7" t="inlineStr">
        <is>
          <t>サンプル物産株式会社</t>
        </is>
      </c>
      <c r="D88" s="7" t="inlineStr">
        <is>
          <t>ノートPC</t>
        </is>
      </c>
      <c r="E88" s="8" t="n">
        <v>3</v>
      </c>
      <c r="F88" s="9" t="n">
        <v>158000</v>
      </c>
      <c r="G88" s="10">
        <f>E88*F88</f>
        <v>474000</v>
      </c>
      <c r="H88" s="8" t="n">
        <v>341280</v>
      </c>
      <c r="I88" s="11">
        <f>IF(G88=0,"",(G88-H88)/G88)</f>
        <v>0.28</v>
      </c>
      <c r="J88" s="7" t="n"/>
      <c r="K88" s="12" t="n">
        <v>46159</v>
      </c>
    </row>
    <row r="89">
      <c r="A89" s="5" t="n">
        <v>85</v>
      </c>
      <c r="B89" s="6" t="n">
        <v>46129</v>
      </c>
      <c r="C89" s="7" t="inlineStr">
        <is>
          <t>株式会社ﾃｽﾄｶﾅ</t>
        </is>
      </c>
      <c r="D89" s="7" t="inlineStr">
        <is>
          <t>USBメモリ 64GB</t>
        </is>
      </c>
      <c r="E89" s="8" t="n">
        <v>4</v>
      </c>
      <c r="F89" s="9" t="n">
        <v>1980</v>
      </c>
      <c r="G89" s="10">
        <f>E89*F89</f>
        <v>7920</v>
      </c>
      <c r="H89" s="8" t="n">
        <v>5702</v>
      </c>
      <c r="I89" s="11">
        <f>IF(G89=0,"",(G89-H89)/G89)</f>
        <v>0.28005050505050505</v>
      </c>
      <c r="J89" s="7" t="n"/>
      <c r="K89" s="12" t="n">
        <v>46159</v>
      </c>
    </row>
    <row r="90">
      <c r="A90" s="5" t="n">
        <v>86</v>
      </c>
      <c r="B90" s="6" t="n">
        <v>46130</v>
      </c>
      <c r="C90" s="7" t="inlineStr">
        <is>
          <t>株式会社サンプル商事</t>
        </is>
      </c>
      <c r="D90" s="7" t="inlineStr">
        <is>
          <t>コピー用紙A4(500枚×5冊)</t>
        </is>
      </c>
      <c r="E90" s="8" t="n">
        <v>5</v>
      </c>
      <c r="F90" s="9" t="n">
        <v>480</v>
      </c>
      <c r="G90" s="10">
        <f>E90*F90</f>
        <v>2400</v>
      </c>
      <c r="H90" s="8" t="n">
        <v>1728</v>
      </c>
      <c r="I90" s="11">
        <f>IF(G90=0,"",(G90-H90)/G90)</f>
        <v>0.28</v>
      </c>
      <c r="J90" s="7" t="inlineStr">
        <is>
          <t>要確認</t>
        </is>
      </c>
      <c r="K90" s="12" t="n">
        <v>46160</v>
      </c>
    </row>
    <row r="91">
      <c r="A91" s="5" t="n">
        <v>87</v>
      </c>
      <c r="B91" s="6" t="n">
        <v>46130</v>
      </c>
      <c r="C91" s="7" t="inlineStr">
        <is>
          <t>有限会社テスト工業</t>
        </is>
      </c>
      <c r="D91" s="7" t="inlineStr">
        <is>
          <t>トナーカートリッジ</t>
        </is>
      </c>
      <c r="E91" s="8" t="n">
        <v>6</v>
      </c>
      <c r="F91" s="9" t="n">
        <v>12800</v>
      </c>
      <c r="G91" s="10">
        <f>E91*F91</f>
        <v>76800</v>
      </c>
      <c r="H91" s="8" t="n">
        <v>55296</v>
      </c>
      <c r="I91" s="11">
        <f>IF(G91=0,"",(G91-H91)/G91)</f>
        <v>0.28</v>
      </c>
      <c r="J91" s="7" t="n"/>
      <c r="K91" s="12" t="n">
        <v>46160</v>
      </c>
    </row>
    <row r="92">
      <c r="A92" s="5" t="n">
        <v>88</v>
      </c>
      <c r="B92" s="6" t="n">
        <v>46130</v>
      </c>
      <c r="C92" s="7" t="inlineStr">
        <is>
          <t>合同会社見本ソリューションズ東日本支社</t>
        </is>
      </c>
      <c r="D92" s="7" t="inlineStr">
        <is>
          <t>保守サービス(年間)</t>
        </is>
      </c>
      <c r="E92" s="8" t="n">
        <v>7</v>
      </c>
      <c r="F92" s="9" t="n">
        <v>98000</v>
      </c>
      <c r="G92" s="10">
        <f>E92*F92</f>
        <v>686000</v>
      </c>
      <c r="H92" s="8" t="n">
        <v>493920</v>
      </c>
      <c r="I92" s="11">
        <f>IF(G92=0,"",(G92-H92)/G92)</f>
        <v>0.28</v>
      </c>
      <c r="J92" s="7" t="n"/>
      <c r="K92" s="12" t="n">
        <v>46160</v>
      </c>
    </row>
    <row r="93">
      <c r="A93" s="5" t="n">
        <v>89</v>
      </c>
      <c r="B93" s="6" t="n">
        <v>46130</v>
      </c>
      <c r="C93" s="7" t="inlineStr">
        <is>
          <t>サンプル物産株式会社</t>
        </is>
      </c>
      <c r="D93" s="7" t="inlineStr">
        <is>
          <t>ノートPC</t>
        </is>
      </c>
      <c r="E93" s="8" t="n">
        <v>8</v>
      </c>
      <c r="F93" s="9" t="n">
        <v>158000</v>
      </c>
      <c r="G93" s="10">
        <f>E93*F93</f>
        <v>1264000</v>
      </c>
      <c r="H93" s="8" t="n">
        <v>910080</v>
      </c>
      <c r="I93" s="11">
        <f>IF(G93=0,"",(G93-H93)/G93)</f>
        <v>0.28</v>
      </c>
      <c r="J93" s="7" t="n"/>
      <c r="K93" s="12" t="n">
        <v>46160</v>
      </c>
    </row>
    <row r="94">
      <c r="A94" s="5" t="n">
        <v>90</v>
      </c>
      <c r="B94" s="6" t="n">
        <v>46130</v>
      </c>
      <c r="C94" s="7" t="inlineStr">
        <is>
          <t>株式会社ﾃｽﾄｶﾅ</t>
        </is>
      </c>
      <c r="D94" s="7" t="inlineStr">
        <is>
          <t>USBメモリ 64GB</t>
        </is>
      </c>
      <c r="E94" s="8" t="n">
        <v>9</v>
      </c>
      <c r="F94" s="9" t="n">
        <v>1980</v>
      </c>
      <c r="G94" s="10">
        <f>E94*F94</f>
        <v>17820</v>
      </c>
      <c r="H94" s="8" t="n">
        <v>12830</v>
      </c>
      <c r="I94" s="11">
        <f>IF(G94=0,"",(G94-H94)/G94)</f>
        <v>0.28002244668911336</v>
      </c>
      <c r="J94" s="7" t="n"/>
      <c r="K94" s="12" t="n">
        <v>46160</v>
      </c>
    </row>
    <row r="95">
      <c r="A95" s="5" t="n">
        <v>91</v>
      </c>
      <c r="B95" s="6" t="n">
        <v>46131</v>
      </c>
      <c r="C95" s="7" t="inlineStr">
        <is>
          <t>株式会社サンプル商事</t>
        </is>
      </c>
      <c r="D95" s="7" t="inlineStr">
        <is>
          <t>コピー用紙A4(500枚×5冊)</t>
        </is>
      </c>
      <c r="E95" s="8" t="n">
        <v>1</v>
      </c>
      <c r="F95" s="9" t="n">
        <v>480</v>
      </c>
      <c r="G95" s="10">
        <f>E95*F95</f>
        <v>480</v>
      </c>
      <c r="H95" s="8" t="n">
        <v>346</v>
      </c>
      <c r="I95" s="11">
        <f>IF(G95=0,"",(G95-H95)/G95)</f>
        <v>0.2791666666666667</v>
      </c>
      <c r="J95" s="7" t="n"/>
      <c r="K95" s="12" t="n">
        <v>46161</v>
      </c>
    </row>
    <row r="96">
      <c r="A96" s="5" t="n">
        <v>92</v>
      </c>
      <c r="B96" s="6" t="n">
        <v>46131</v>
      </c>
      <c r="C96" s="7" t="inlineStr">
        <is>
          <t>有限会社テスト工業</t>
        </is>
      </c>
      <c r="D96" s="7" t="inlineStr">
        <is>
          <t>トナーカートリッジ</t>
        </is>
      </c>
      <c r="E96" s="8" t="n">
        <v>2</v>
      </c>
      <c r="F96" s="9" t="n">
        <v>12800</v>
      </c>
      <c r="G96" s="10">
        <f>E96*F96</f>
        <v>25600</v>
      </c>
      <c r="H96" s="8" t="n">
        <v>18432</v>
      </c>
      <c r="I96" s="11">
        <f>IF(G96=0,"",(G96-H96)/G96)</f>
        <v>0.28</v>
      </c>
      <c r="J96" s="7" t="n"/>
      <c r="K96" s="12" t="n">
        <v>46161</v>
      </c>
    </row>
    <row r="97">
      <c r="A97" s="5" t="n">
        <v>93</v>
      </c>
      <c r="B97" s="6" t="n">
        <v>46131</v>
      </c>
      <c r="C97" s="7" t="inlineStr">
        <is>
          <t>合同会社見本ソリューションズ東日本支社</t>
        </is>
      </c>
      <c r="D97" s="7" t="inlineStr">
        <is>
          <t>保守サービス(年間)</t>
        </is>
      </c>
      <c r="E97" s="8" t="n">
        <v>3</v>
      </c>
      <c r="F97" s="9" t="n">
        <v>98000</v>
      </c>
      <c r="G97" s="10">
        <f>E97*F97</f>
        <v>294000</v>
      </c>
      <c r="H97" s="8" t="n">
        <v>211680</v>
      </c>
      <c r="I97" s="11">
        <f>IF(G97=0,"",(G97-H97)/G97)</f>
        <v>0.28</v>
      </c>
      <c r="J97" s="7" t="n"/>
      <c r="K97" s="12" t="n">
        <v>46161</v>
      </c>
    </row>
    <row r="98">
      <c r="A98" s="5" t="n">
        <v>94</v>
      </c>
      <c r="B98" s="6" t="n">
        <v>46131</v>
      </c>
      <c r="C98" s="7" t="inlineStr">
        <is>
          <t>サンプル物産株式会社</t>
        </is>
      </c>
      <c r="D98" s="7" t="inlineStr">
        <is>
          <t>ノートPC</t>
        </is>
      </c>
      <c r="E98" s="8" t="n">
        <v>4</v>
      </c>
      <c r="F98" s="9" t="n">
        <v>158000</v>
      </c>
      <c r="G98" s="10">
        <f>E98*F98</f>
        <v>632000</v>
      </c>
      <c r="H98" s="8" t="n">
        <v>455040</v>
      </c>
      <c r="I98" s="11">
        <f>IF(G98=0,"",(G98-H98)/G98)</f>
        <v>0.28</v>
      </c>
      <c r="J98" s="7" t="n"/>
      <c r="K98" s="12" t="n">
        <v>46161</v>
      </c>
    </row>
    <row r="99">
      <c r="A99" s="5" t="n">
        <v>95</v>
      </c>
      <c r="B99" s="6" t="n">
        <v>46131</v>
      </c>
      <c r="C99" s="7" t="inlineStr">
        <is>
          <t>株式会社ﾃｽﾄｶﾅ</t>
        </is>
      </c>
      <c r="D99" s="7" t="inlineStr">
        <is>
          <t>USBメモリ 64GB</t>
        </is>
      </c>
      <c r="E99" s="8" t="n">
        <v>5</v>
      </c>
      <c r="F99" s="9" t="n">
        <v>1980</v>
      </c>
      <c r="G99" s="10">
        <f>E99*F99</f>
        <v>9900</v>
      </c>
      <c r="H99" s="8" t="n">
        <v>7128</v>
      </c>
      <c r="I99" s="11">
        <f>IF(G99=0,"",(G99-H99)/G99)</f>
        <v>0.28</v>
      </c>
      <c r="J99" s="7" t="n"/>
      <c r="K99" s="12" t="n">
        <v>46161</v>
      </c>
    </row>
    <row r="100">
      <c r="A100" s="5" t="n">
        <v>96</v>
      </c>
      <c r="B100" s="6" t="n">
        <v>46132</v>
      </c>
      <c r="C100" s="7" t="inlineStr">
        <is>
          <t>株式会社サンプル商事</t>
        </is>
      </c>
      <c r="D100" s="7" t="inlineStr">
        <is>
          <t>コピー用紙A4(500枚×5冊)</t>
        </is>
      </c>
      <c r="E100" s="8" t="n">
        <v>6</v>
      </c>
      <c r="F100" s="9" t="n">
        <v>480</v>
      </c>
      <c r="G100" s="10">
        <f>E100*F100</f>
        <v>2880</v>
      </c>
      <c r="H100" s="8" t="n">
        <v>2074</v>
      </c>
      <c r="I100" s="11">
        <f>IF(G100=0,"",(G100-H100)/G100)</f>
        <v>0.2798611111111111</v>
      </c>
      <c r="J100" s="7" t="n"/>
      <c r="K100" s="12" t="n">
        <v>46162</v>
      </c>
    </row>
    <row r="101">
      <c r="A101" s="5" t="n">
        <v>97</v>
      </c>
      <c r="B101" s="6" t="n">
        <v>46132</v>
      </c>
      <c r="C101" s="7" t="inlineStr">
        <is>
          <t>有限会社テスト工業</t>
        </is>
      </c>
      <c r="D101" s="7" t="inlineStr">
        <is>
          <t>トナーカートリッジ</t>
        </is>
      </c>
      <c r="E101" s="8" t="n">
        <v>7</v>
      </c>
      <c r="F101" s="9" t="n">
        <v>12800</v>
      </c>
      <c r="G101" s="10">
        <f>E101*F101</f>
        <v>89600</v>
      </c>
      <c r="H101" s="8" t="n">
        <v>64512</v>
      </c>
      <c r="I101" s="11">
        <f>IF(G101=0,"",(G101-H101)/G101)</f>
        <v>0.28</v>
      </c>
      <c r="J101" s="7" t="n"/>
      <c r="K101" s="12" t="n">
        <v>46162</v>
      </c>
    </row>
    <row r="102">
      <c r="A102" s="5" t="n">
        <v>98</v>
      </c>
      <c r="B102" s="6" t="n">
        <v>46132</v>
      </c>
      <c r="C102" s="7" t="inlineStr">
        <is>
          <t>合同会社見本ソリューションズ東日本支社</t>
        </is>
      </c>
      <c r="D102" s="7" t="inlineStr">
        <is>
          <t>保守サービス(年間)</t>
        </is>
      </c>
      <c r="E102" s="8" t="n">
        <v>8</v>
      </c>
      <c r="F102" s="9" t="n">
        <v>98000</v>
      </c>
      <c r="G102" s="10">
        <f>E102*F102</f>
        <v>784000</v>
      </c>
      <c r="H102" s="8" t="n">
        <v>564480</v>
      </c>
      <c r="I102" s="11">
        <f>IF(G102=0,"",(G102-H102)/G102)</f>
        <v>0.28</v>
      </c>
      <c r="J102" s="7" t="n"/>
      <c r="K102" s="12" t="n">
        <v>46162</v>
      </c>
    </row>
    <row r="103">
      <c r="A103" s="5" t="n">
        <v>99</v>
      </c>
      <c r="B103" s="6" t="n">
        <v>46132</v>
      </c>
      <c r="C103" s="7" t="inlineStr">
        <is>
          <t>サンプル物産株式会社</t>
        </is>
      </c>
      <c r="D103" s="7" t="inlineStr">
        <is>
          <t>ノートPC</t>
        </is>
      </c>
      <c r="E103" s="8" t="n">
        <v>9</v>
      </c>
      <c r="F103" s="9" t="n">
        <v>158000</v>
      </c>
      <c r="G103" s="10">
        <f>E103*F103</f>
        <v>1422000</v>
      </c>
      <c r="H103" s="8" t="n">
        <v>1023840</v>
      </c>
      <c r="I103" s="11">
        <f>IF(G103=0,"",(G103-H103)/G103)</f>
        <v>0.28</v>
      </c>
      <c r="J103" s="7" t="n"/>
      <c r="K103" s="12" t="n">
        <v>46162</v>
      </c>
    </row>
    <row r="104" hidden="1">
      <c r="A104" s="5" t="n">
        <v>100</v>
      </c>
      <c r="B104" s="6" t="n">
        <v>46132</v>
      </c>
      <c r="C104" s="7" t="inlineStr">
        <is>
          <t>株式会社ﾃｽﾄｶﾅ</t>
        </is>
      </c>
      <c r="D104" s="7" t="inlineStr">
        <is>
          <t>USBメモリ 64GB</t>
        </is>
      </c>
      <c r="E104" s="8" t="n">
        <v>1</v>
      </c>
      <c r="F104" s="9" t="n">
        <v>1980</v>
      </c>
      <c r="G104" s="10">
        <f>E104*F104</f>
        <v>1980</v>
      </c>
      <c r="H104" s="8" t="n">
        <v>1426</v>
      </c>
      <c r="I104" s="11">
        <f>IF(G104=0,"",(G104-H104)/G104)</f>
        <v>0.2797979797979798</v>
      </c>
      <c r="J104" s="7" t="n"/>
      <c r="K104" s="12" t="n">
        <v>46162</v>
      </c>
    </row>
    <row r="105">
      <c r="A105" s="5" t="n">
        <v>101</v>
      </c>
      <c r="B105" s="6" t="n">
        <v>46133</v>
      </c>
      <c r="C105" s="7" t="inlineStr">
        <is>
          <t>株式会社サンプル商事</t>
        </is>
      </c>
      <c r="D105" s="7" t="inlineStr">
        <is>
          <t>コピー用紙A4(500枚×5冊)</t>
        </is>
      </c>
      <c r="E105" s="8" t="n">
        <v>2</v>
      </c>
      <c r="F105" s="9" t="n">
        <v>480</v>
      </c>
      <c r="G105" s="10">
        <f>E105*F105</f>
        <v>960</v>
      </c>
      <c r="H105" s="8" t="n">
        <v>691</v>
      </c>
      <c r="I105" s="11">
        <f>IF(G105=0,"",(G105-H105)/G105)</f>
        <v>0.28020833333333334</v>
      </c>
      <c r="J105" s="7" t="n"/>
      <c r="K105" s="12" t="n">
        <v>46163</v>
      </c>
    </row>
    <row r="106">
      <c r="A106" s="5" t="n">
        <v>102</v>
      </c>
      <c r="B106" s="6" t="n">
        <v>46133</v>
      </c>
      <c r="C106" s="7" t="inlineStr">
        <is>
          <t>有限会社テスト工業</t>
        </is>
      </c>
      <c r="D106" s="7" t="inlineStr">
        <is>
          <t>トナーカートリッジ</t>
        </is>
      </c>
      <c r="E106" s="8" t="n">
        <v>3</v>
      </c>
      <c r="F106" s="9" t="n">
        <v>12800</v>
      </c>
      <c r="G106" s="10">
        <f>E106*F106</f>
        <v>38400</v>
      </c>
      <c r="H106" s="8" t="n">
        <v>27648</v>
      </c>
      <c r="I106" s="11">
        <f>IF(G106=0,"",(G106-H106)/G106)</f>
        <v>0.28</v>
      </c>
      <c r="J106" s="7" t="n"/>
      <c r="K106" s="12" t="n">
        <v>46163</v>
      </c>
    </row>
    <row r="107">
      <c r="A107" s="5" t="n">
        <v>103</v>
      </c>
      <c r="B107" s="6" t="n">
        <v>46133</v>
      </c>
      <c r="C107" s="7" t="inlineStr">
        <is>
          <t>合同会社見本ソリューションズ東日本支社</t>
        </is>
      </c>
      <c r="D107" s="7" t="inlineStr">
        <is>
          <t>保守サービス(年間)</t>
        </is>
      </c>
      <c r="E107" s="8" t="n">
        <v>4</v>
      </c>
      <c r="F107" s="9" t="n">
        <v>98000</v>
      </c>
      <c r="G107" s="10">
        <f>E107*F107</f>
        <v>392000</v>
      </c>
      <c r="H107" s="8" t="n">
        <v>282240</v>
      </c>
      <c r="I107" s="11">
        <f>IF(G107=0,"",(G107-H107)/G107)</f>
        <v>0.28</v>
      </c>
      <c r="J107" s="7" t="inlineStr">
        <is>
          <t>要確認</t>
        </is>
      </c>
      <c r="K107" s="12" t="n">
        <v>46163</v>
      </c>
    </row>
    <row r="108">
      <c r="A108" s="5" t="n">
        <v>104</v>
      </c>
      <c r="B108" s="6" t="n">
        <v>46133</v>
      </c>
      <c r="C108" s="7" t="inlineStr">
        <is>
          <t>サンプル物産株式会社</t>
        </is>
      </c>
      <c r="D108" s="7" t="inlineStr">
        <is>
          <t>ノートPC</t>
        </is>
      </c>
      <c r="E108" s="8" t="n">
        <v>5</v>
      </c>
      <c r="F108" s="9" t="n">
        <v>158000</v>
      </c>
      <c r="G108" s="10">
        <f>E108*F108</f>
        <v>790000</v>
      </c>
      <c r="H108" s="8" t="n">
        <v>568800</v>
      </c>
      <c r="I108" s="11">
        <f>IF(G108=0,"",(G108-H108)/G108)</f>
        <v>0.28</v>
      </c>
      <c r="J108" s="7" t="n"/>
      <c r="K108" s="12" t="n">
        <v>46163</v>
      </c>
    </row>
    <row r="109">
      <c r="A109" s="5" t="n">
        <v>105</v>
      </c>
      <c r="B109" s="6" t="n">
        <v>46133</v>
      </c>
      <c r="C109" s="7" t="inlineStr">
        <is>
          <t>株式会社ﾃｽﾄｶﾅ</t>
        </is>
      </c>
      <c r="D109" s="7" t="inlineStr">
        <is>
          <t>USBメモリ 64GB</t>
        </is>
      </c>
      <c r="E109" s="8" t="n">
        <v>6</v>
      </c>
      <c r="F109" s="9" t="n">
        <v>1980</v>
      </c>
      <c r="G109" s="10">
        <f>E109*F109</f>
        <v>11880</v>
      </c>
      <c r="H109" s="8" t="n">
        <v>8554</v>
      </c>
      <c r="I109" s="11">
        <f>IF(G109=0,"",(G109-H109)/G109)</f>
        <v>0.27996632996633</v>
      </c>
      <c r="J109" s="7" t="n"/>
      <c r="K109" s="12" t="n">
        <v>46163</v>
      </c>
    </row>
    <row r="110">
      <c r="A110" s="5" t="n">
        <v>106</v>
      </c>
      <c r="B110" s="6" t="n">
        <v>46134</v>
      </c>
      <c r="C110" s="7" t="inlineStr">
        <is>
          <t>株式会社サンプル商事</t>
        </is>
      </c>
      <c r="D110" s="7" t="inlineStr">
        <is>
          <t>コピー用紙A4(500枚×5冊)</t>
        </is>
      </c>
      <c r="E110" s="8" t="n">
        <v>7</v>
      </c>
      <c r="F110" s="9" t="n">
        <v>480</v>
      </c>
      <c r="G110" s="10">
        <f>E110*F110</f>
        <v>3360</v>
      </c>
      <c r="H110" s="8" t="n">
        <v>2419</v>
      </c>
      <c r="I110" s="11">
        <f>IF(G110=0,"",(G110-H110)/G110)</f>
        <v>0.2800595238095238</v>
      </c>
      <c r="J110" s="7" t="n"/>
      <c r="K110" s="12" t="n">
        <v>46164</v>
      </c>
    </row>
    <row r="111">
      <c r="A111" s="5" t="n">
        <v>107</v>
      </c>
      <c r="B111" s="6" t="n">
        <v>46134</v>
      </c>
      <c r="C111" s="7" t="inlineStr">
        <is>
          <t>有限会社テスト工業</t>
        </is>
      </c>
      <c r="D111" s="7" t="inlineStr">
        <is>
          <t>トナーカートリッジ</t>
        </is>
      </c>
      <c r="E111" s="8" t="n">
        <v>8</v>
      </c>
      <c r="F111" s="9" t="n">
        <v>12800</v>
      </c>
      <c r="G111" s="10">
        <f>E111*F111</f>
        <v>102400</v>
      </c>
      <c r="H111" s="8" t="n">
        <v>73728</v>
      </c>
      <c r="I111" s="11">
        <f>IF(G111=0,"",(G111-H111)/G111)</f>
        <v>0.28</v>
      </c>
      <c r="J111" s="7" t="n"/>
      <c r="K111" s="12" t="n">
        <v>46164</v>
      </c>
    </row>
    <row r="112">
      <c r="A112" s="5" t="n">
        <v>108</v>
      </c>
      <c r="B112" s="6" t="n">
        <v>46134</v>
      </c>
      <c r="C112" s="7" t="inlineStr">
        <is>
          <t>合同会社見本ソリューションズ東日本支社</t>
        </is>
      </c>
      <c r="D112" s="7" t="inlineStr">
        <is>
          <t>保守サービス(年間)</t>
        </is>
      </c>
      <c r="E112" s="8" t="n">
        <v>9</v>
      </c>
      <c r="F112" s="9" t="n">
        <v>98000</v>
      </c>
      <c r="G112" s="10">
        <f>E112*F112</f>
        <v>882000</v>
      </c>
      <c r="H112" s="8" t="n">
        <v>635040</v>
      </c>
      <c r="I112" s="11">
        <f>IF(G112=0,"",(G112-H112)/G112)</f>
        <v>0.28</v>
      </c>
      <c r="J112" s="7" t="n"/>
      <c r="K112" s="12" t="n">
        <v>46164</v>
      </c>
    </row>
    <row r="113">
      <c r="A113" s="5" t="n">
        <v>109</v>
      </c>
      <c r="B113" s="6" t="n">
        <v>46134</v>
      </c>
      <c r="C113" s="7" t="inlineStr">
        <is>
          <t>サンプル物産株式会社</t>
        </is>
      </c>
      <c r="D113" s="7" t="inlineStr">
        <is>
          <t>ノートPC</t>
        </is>
      </c>
      <c r="E113" s="8" t="n">
        <v>1</v>
      </c>
      <c r="F113" s="9" t="n">
        <v>158000</v>
      </c>
      <c r="G113" s="10">
        <f>E113*F113</f>
        <v>158000</v>
      </c>
      <c r="H113" s="8" t="n">
        <v>113760</v>
      </c>
      <c r="I113" s="11">
        <f>IF(G113=0,"",(G113-H113)/G113)</f>
        <v>0.28</v>
      </c>
      <c r="J113" s="7" t="n"/>
      <c r="K113" s="12" t="n">
        <v>46164</v>
      </c>
    </row>
    <row r="114">
      <c r="A114" s="5" t="n">
        <v>110</v>
      </c>
      <c r="B114" s="6" t="n">
        <v>46134</v>
      </c>
      <c r="C114" s="7" t="inlineStr">
        <is>
          <t>株式会社ﾃｽﾄｶﾅ</t>
        </is>
      </c>
      <c r="D114" s="7" t="inlineStr">
        <is>
          <t>USBメモリ 64GB</t>
        </is>
      </c>
      <c r="E114" s="8" t="n">
        <v>2</v>
      </c>
      <c r="F114" s="9" t="n">
        <v>1980</v>
      </c>
      <c r="G114" s="10">
        <f>E114*F114</f>
        <v>3960</v>
      </c>
      <c r="H114" s="8" t="n">
        <v>2851</v>
      </c>
      <c r="I114" s="11">
        <f>IF(G114=0,"",(G114-H114)/G114)</f>
        <v>0.28005050505050505</v>
      </c>
      <c r="J114" s="7" t="n"/>
      <c r="K114" s="12" t="n">
        <v>46164</v>
      </c>
    </row>
    <row r="115">
      <c r="A115" s="5" t="n">
        <v>111</v>
      </c>
      <c r="B115" s="6" t="n">
        <v>46135</v>
      </c>
      <c r="C115" s="7" t="inlineStr">
        <is>
          <t>株式会社サンプル商事</t>
        </is>
      </c>
      <c r="D115" s="7" t="inlineStr">
        <is>
          <t>コピー用紙A4(500枚×5冊)</t>
        </is>
      </c>
      <c r="E115" s="8" t="n">
        <v>3</v>
      </c>
      <c r="F115" s="9" t="n">
        <v>480</v>
      </c>
      <c r="G115" s="10">
        <f>E115*F115</f>
        <v>1440</v>
      </c>
      <c r="H115" s="8" t="n">
        <v>1037</v>
      </c>
      <c r="I115" s="11">
        <f>IF(G115=0,"",(G115-H115)/G115)</f>
        <v>0.2798611111111111</v>
      </c>
      <c r="J115" s="7" t="n"/>
      <c r="K115" s="12" t="n">
        <v>46165</v>
      </c>
    </row>
    <row r="116">
      <c r="A116" s="5" t="n">
        <v>112</v>
      </c>
      <c r="B116" s="6" t="n">
        <v>46135</v>
      </c>
      <c r="C116" s="7" t="inlineStr">
        <is>
          <t>有限会社テスト工業</t>
        </is>
      </c>
      <c r="D116" s="7" t="inlineStr">
        <is>
          <t>トナーカートリッジ</t>
        </is>
      </c>
      <c r="E116" s="8" t="n">
        <v>4</v>
      </c>
      <c r="F116" s="9" t="n">
        <v>12800</v>
      </c>
      <c r="G116" s="10">
        <f>E116*F116</f>
        <v>51200</v>
      </c>
      <c r="H116" s="8" t="n">
        <v>36864</v>
      </c>
      <c r="I116" s="11">
        <f>IF(G116=0,"",(G116-H116)/G116)</f>
        <v>0.28</v>
      </c>
      <c r="J116" s="7" t="n"/>
      <c r="K116" s="12" t="n">
        <v>46165</v>
      </c>
    </row>
    <row r="117">
      <c r="A117" s="5" t="n">
        <v>113</v>
      </c>
      <c r="B117" s="6" t="n">
        <v>46135</v>
      </c>
      <c r="C117" s="7" t="inlineStr">
        <is>
          <t>合同会社見本ソリューションズ東日本支社</t>
        </is>
      </c>
      <c r="D117" s="7" t="inlineStr">
        <is>
          <t>保守サービス(年間)</t>
        </is>
      </c>
      <c r="E117" s="8" t="n">
        <v>5</v>
      </c>
      <c r="F117" s="9" t="n">
        <v>98000</v>
      </c>
      <c r="G117" s="10">
        <f>E117*F117</f>
        <v>490000</v>
      </c>
      <c r="H117" s="8" t="n">
        <v>352800</v>
      </c>
      <c r="I117" s="11">
        <f>IF(G117=0,"",(G117-H117)/G117)</f>
        <v>0.28</v>
      </c>
      <c r="J117" s="7" t="n"/>
      <c r="K117" s="12" t="n">
        <v>46165</v>
      </c>
    </row>
    <row r="118">
      <c r="A118" s="5" t="n">
        <v>114</v>
      </c>
      <c r="B118" s="6" t="n">
        <v>46135</v>
      </c>
      <c r="C118" s="7" t="inlineStr">
        <is>
          <t>サンプル物産株式会社</t>
        </is>
      </c>
      <c r="D118" s="7" t="inlineStr">
        <is>
          <t>ノートPC</t>
        </is>
      </c>
      <c r="E118" s="8" t="n">
        <v>6</v>
      </c>
      <c r="F118" s="9" t="n">
        <v>158000</v>
      </c>
      <c r="G118" s="10">
        <f>E118*F118</f>
        <v>948000</v>
      </c>
      <c r="H118" s="8" t="n">
        <v>682560</v>
      </c>
      <c r="I118" s="11">
        <f>IF(G118=0,"",(G118-H118)/G118)</f>
        <v>0.28</v>
      </c>
      <c r="J118" s="7" t="n"/>
      <c r="K118" s="12" t="n">
        <v>46165</v>
      </c>
    </row>
    <row r="119">
      <c r="A119" s="5" t="n">
        <v>115</v>
      </c>
      <c r="B119" s="6" t="n">
        <v>46135</v>
      </c>
      <c r="C119" s="7" t="inlineStr">
        <is>
          <t>株式会社ﾃｽﾄｶﾅ</t>
        </is>
      </c>
      <c r="D119" s="7" t="inlineStr">
        <is>
          <t>USBメモリ 64GB</t>
        </is>
      </c>
      <c r="E119" s="8" t="n">
        <v>7</v>
      </c>
      <c r="F119" s="9" t="n">
        <v>1980</v>
      </c>
      <c r="G119" s="10">
        <f>E119*F119</f>
        <v>13860</v>
      </c>
      <c r="H119" s="8" t="n">
        <v>9979</v>
      </c>
      <c r="I119" s="11">
        <f>IF(G119=0,"",(G119-H119)/G119)</f>
        <v>0.28001443001443</v>
      </c>
      <c r="J119" s="7" t="n"/>
      <c r="K119" s="12" t="n">
        <v>46165</v>
      </c>
    </row>
    <row r="120">
      <c r="A120" s="5" t="n">
        <v>116</v>
      </c>
      <c r="B120" s="6" t="n">
        <v>46136</v>
      </c>
      <c r="C120" s="7" t="inlineStr">
        <is>
          <t>株式会社サンプル商事</t>
        </is>
      </c>
      <c r="D120" s="7" t="inlineStr">
        <is>
          <t>コピー用紙A4(500枚×5冊)</t>
        </is>
      </c>
      <c r="E120" s="8" t="n">
        <v>8</v>
      </c>
      <c r="F120" s="9" t="n">
        <v>480</v>
      </c>
      <c r="G120" s="10">
        <f>E120*F120</f>
        <v>3840</v>
      </c>
      <c r="H120" s="8" t="n">
        <v>2765</v>
      </c>
      <c r="I120" s="11">
        <f>IF(G120=0,"",(G120-H120)/G120)</f>
        <v>0.2799479166666667</v>
      </c>
      <c r="J120" s="7" t="n"/>
      <c r="K120" s="12" t="n">
        <v>46166</v>
      </c>
    </row>
    <row r="121">
      <c r="A121" s="5" t="n">
        <v>117</v>
      </c>
      <c r="B121" s="6" t="n">
        <v>46136</v>
      </c>
      <c r="C121" s="7" t="inlineStr">
        <is>
          <t>有限会社テスト工業</t>
        </is>
      </c>
      <c r="D121" s="7" t="inlineStr">
        <is>
          <t>トナーカートリッジ</t>
        </is>
      </c>
      <c r="E121" s="8" t="n">
        <v>9</v>
      </c>
      <c r="F121" s="9" t="n">
        <v>12800</v>
      </c>
      <c r="G121" s="10">
        <f>E121*F121</f>
        <v>115200</v>
      </c>
      <c r="H121" s="8" t="n">
        <v>82944</v>
      </c>
      <c r="I121" s="11">
        <f>IF(G121=0,"",(G121-H121)/G121)</f>
        <v>0.28</v>
      </c>
      <c r="J121" s="7" t="n"/>
      <c r="K121" s="12" t="n">
        <v>46166</v>
      </c>
    </row>
    <row r="122">
      <c r="A122" s="5" t="n">
        <v>118</v>
      </c>
      <c r="B122" s="6" t="n">
        <v>46136</v>
      </c>
      <c r="C122" s="7" t="inlineStr">
        <is>
          <t>合同会社見本ソリューションズ東日本支社</t>
        </is>
      </c>
      <c r="D122" s="7" t="inlineStr">
        <is>
          <t>保守サービス(年間)</t>
        </is>
      </c>
      <c r="E122" s="8" t="n">
        <v>1</v>
      </c>
      <c r="F122" s="9" t="n">
        <v>98000</v>
      </c>
      <c r="G122" s="10">
        <f>E122*F122</f>
        <v>98000</v>
      </c>
      <c r="H122" s="8" t="n">
        <v>70560</v>
      </c>
      <c r="I122" s="11">
        <f>IF(G122=0,"",(G122-H122)/G122)</f>
        <v>0.28</v>
      </c>
      <c r="J122" s="7" t="n"/>
      <c r="K122" s="12" t="n">
        <v>46166</v>
      </c>
    </row>
    <row r="123">
      <c r="A123" s="5" t="n">
        <v>119</v>
      </c>
      <c r="B123" s="6" t="n">
        <v>46136</v>
      </c>
      <c r="C123" s="7" t="inlineStr">
        <is>
          <t>サンプル物産株式会社</t>
        </is>
      </c>
      <c r="D123" s="7" t="inlineStr">
        <is>
          <t>ノートPC</t>
        </is>
      </c>
      <c r="E123" s="8" t="n">
        <v>2</v>
      </c>
      <c r="F123" s="9" t="n">
        <v>158000</v>
      </c>
      <c r="G123" s="10">
        <f>E123*F123</f>
        <v>316000</v>
      </c>
      <c r="H123" s="8" t="n">
        <v>227520</v>
      </c>
      <c r="I123" s="11">
        <f>IF(G123=0,"",(G123-H123)/G123)</f>
        <v>0.28</v>
      </c>
      <c r="J123" s="7" t="n"/>
      <c r="K123" s="12" t="n">
        <v>46166</v>
      </c>
    </row>
    <row r="124">
      <c r="A124" s="5" t="n">
        <v>120</v>
      </c>
      <c r="B124" s="6" t="n">
        <v>46136</v>
      </c>
      <c r="C124" s="7" t="inlineStr">
        <is>
          <t>株式会社ﾃｽﾄｶﾅ</t>
        </is>
      </c>
      <c r="D124" s="7" t="inlineStr">
        <is>
          <t>USBメモリ 64GB</t>
        </is>
      </c>
      <c r="E124" s="8" t="n">
        <v>3</v>
      </c>
      <c r="F124" s="9" t="n">
        <v>1980</v>
      </c>
      <c r="G124" s="10">
        <f>E124*F124</f>
        <v>5940</v>
      </c>
      <c r="H124" s="8" t="n">
        <v>4277</v>
      </c>
      <c r="I124" s="11">
        <f>IF(G124=0,"",(G124-H124)/G124)</f>
        <v>0.27996632996633</v>
      </c>
      <c r="J124" s="7" t="inlineStr">
        <is>
          <t>要確認</t>
        </is>
      </c>
      <c r="K124" s="12" t="n">
        <v>46166</v>
      </c>
    </row>
    <row r="125">
      <c r="A125" s="5" t="n">
        <v>121</v>
      </c>
      <c r="B125" s="6" t="n">
        <v>46137</v>
      </c>
      <c r="C125" s="7" t="inlineStr">
        <is>
          <t>株式会社サンプル商事</t>
        </is>
      </c>
      <c r="D125" s="7" t="inlineStr">
        <is>
          <t>コピー用紙A4(500枚×5冊)</t>
        </is>
      </c>
      <c r="E125" s="8" t="n">
        <v>4</v>
      </c>
      <c r="F125" s="9" t="n">
        <v>480</v>
      </c>
      <c r="G125" s="10">
        <f>E125*F125</f>
        <v>1920</v>
      </c>
      <c r="H125" s="8" t="n">
        <v>1382</v>
      </c>
      <c r="I125" s="11">
        <f>IF(G125=0,"",(G125-H125)/G125)</f>
        <v>0.28020833333333334</v>
      </c>
      <c r="J125" s="7" t="n"/>
      <c r="K125" s="12" t="n">
        <v>46167</v>
      </c>
    </row>
    <row r="126">
      <c r="A126" s="5" t="n">
        <v>122</v>
      </c>
      <c r="B126" s="6" t="n">
        <v>46137</v>
      </c>
      <c r="C126" s="7" t="inlineStr">
        <is>
          <t>有限会社テスト工業</t>
        </is>
      </c>
      <c r="D126" s="7" t="inlineStr">
        <is>
          <t>トナーカートリッジ</t>
        </is>
      </c>
      <c r="E126" s="8" t="n">
        <v>5</v>
      </c>
      <c r="F126" s="9" t="n">
        <v>12800</v>
      </c>
      <c r="G126" s="10">
        <f>E126*F126</f>
        <v>64000</v>
      </c>
      <c r="H126" s="8" t="n">
        <v>46080</v>
      </c>
      <c r="I126" s="11">
        <f>IF(G126=0,"",(G126-H126)/G126)</f>
        <v>0.28</v>
      </c>
      <c r="J126" s="7" t="n"/>
      <c r="K126" s="12" t="n">
        <v>46167</v>
      </c>
    </row>
    <row r="127">
      <c r="A127" s="5" t="n">
        <v>123</v>
      </c>
      <c r="B127" s="6" t="n">
        <v>46137</v>
      </c>
      <c r="C127" s="7" t="inlineStr">
        <is>
          <t>合同会社見本ソリューションズ東日本支社</t>
        </is>
      </c>
      <c r="D127" s="7" t="inlineStr">
        <is>
          <t>保守サービス(年間)</t>
        </is>
      </c>
      <c r="E127" s="8" t="n">
        <v>6</v>
      </c>
      <c r="F127" s="9" t="n">
        <v>98000</v>
      </c>
      <c r="G127" s="10">
        <f>E127*F127</f>
        <v>588000</v>
      </c>
      <c r="H127" s="8" t="n">
        <v>423360</v>
      </c>
      <c r="I127" s="11">
        <f>IF(G127=0,"",(G127-H127)/G127)</f>
        <v>0.28</v>
      </c>
      <c r="J127" s="7" t="n"/>
      <c r="K127" s="12" t="n">
        <v>46167</v>
      </c>
    </row>
    <row r="128">
      <c r="A128" s="5" t="n">
        <v>124</v>
      </c>
      <c r="B128" s="6" t="n">
        <v>46137</v>
      </c>
      <c r="C128" s="7" t="inlineStr">
        <is>
          <t>サンプル物産株式会社</t>
        </is>
      </c>
      <c r="D128" s="7" t="inlineStr">
        <is>
          <t>ノートPC</t>
        </is>
      </c>
      <c r="E128" s="8" t="n">
        <v>7</v>
      </c>
      <c r="F128" s="9" t="n">
        <v>158000</v>
      </c>
      <c r="G128" s="10">
        <f>E128*F128</f>
        <v>1106000</v>
      </c>
      <c r="H128" s="8" t="n">
        <v>796320</v>
      </c>
      <c r="I128" s="11">
        <f>IF(G128=0,"",(G128-H128)/G128)</f>
        <v>0.28</v>
      </c>
      <c r="J128" s="7" t="n"/>
      <c r="K128" s="12" t="n">
        <v>46167</v>
      </c>
    </row>
    <row r="129" hidden="1">
      <c r="A129" s="5" t="n">
        <v>125</v>
      </c>
      <c r="B129" s="6" t="n">
        <v>46137</v>
      </c>
      <c r="C129" s="7" t="inlineStr">
        <is>
          <t>株式会社ﾃｽﾄｶﾅ</t>
        </is>
      </c>
      <c r="D129" s="7" t="inlineStr">
        <is>
          <t>USBメモリ 64GB</t>
        </is>
      </c>
      <c r="E129" s="8" t="n">
        <v>8</v>
      </c>
      <c r="F129" s="9" t="n">
        <v>1980</v>
      </c>
      <c r="G129" s="10">
        <f>E129*F129</f>
        <v>15840</v>
      </c>
      <c r="H129" s="8" t="n">
        <v>11405</v>
      </c>
      <c r="I129" s="11">
        <f>IF(G129=0,"",(G129-H129)/G129)</f>
        <v>0.27998737373737376</v>
      </c>
      <c r="J129" s="7" t="n"/>
      <c r="K129" s="12" t="n">
        <v>46167</v>
      </c>
    </row>
    <row r="130">
      <c r="A130" s="5" t="n">
        <v>126</v>
      </c>
      <c r="B130" s="6" t="n">
        <v>46138</v>
      </c>
      <c r="C130" s="7" t="inlineStr">
        <is>
          <t>株式会社サンプル商事</t>
        </is>
      </c>
      <c r="D130" s="7" t="inlineStr">
        <is>
          <t>コピー用紙A4(500枚×5冊)</t>
        </is>
      </c>
      <c r="E130" s="8" t="n">
        <v>9</v>
      </c>
      <c r="F130" s="9" t="n">
        <v>480</v>
      </c>
      <c r="G130" s="10">
        <f>E130*F130</f>
        <v>4320</v>
      </c>
      <c r="H130" s="8" t="n">
        <v>3110</v>
      </c>
      <c r="I130" s="11">
        <f>IF(G130=0,"",(G130-H130)/G130)</f>
        <v>0.2800925925925926</v>
      </c>
      <c r="J130" s="7" t="n"/>
      <c r="K130" s="12" t="n">
        <v>46168</v>
      </c>
    </row>
    <row r="131">
      <c r="A131" s="5" t="n">
        <v>127</v>
      </c>
      <c r="B131" s="6" t="n">
        <v>46138</v>
      </c>
      <c r="C131" s="7" t="inlineStr">
        <is>
          <t>有限会社テスト工業</t>
        </is>
      </c>
      <c r="D131" s="7" t="inlineStr">
        <is>
          <t>トナーカートリッジ</t>
        </is>
      </c>
      <c r="E131" s="8" t="n">
        <v>1</v>
      </c>
      <c r="F131" s="9" t="n">
        <v>12800</v>
      </c>
      <c r="G131" s="10">
        <f>E131*F131</f>
        <v>12800</v>
      </c>
      <c r="H131" s="8" t="n">
        <v>9216</v>
      </c>
      <c r="I131" s="11">
        <f>IF(G131=0,"",(G131-H131)/G131)</f>
        <v>0.28</v>
      </c>
      <c r="J131" s="7" t="n"/>
      <c r="K131" s="12" t="n">
        <v>46168</v>
      </c>
    </row>
    <row r="132">
      <c r="A132" s="5" t="n">
        <v>128</v>
      </c>
      <c r="B132" s="6" t="n">
        <v>46138</v>
      </c>
      <c r="C132" s="7" t="inlineStr">
        <is>
          <t>合同会社見本ソリューションズ東日本支社</t>
        </is>
      </c>
      <c r="D132" s="7" t="inlineStr">
        <is>
          <t>保守サービス(年間)</t>
        </is>
      </c>
      <c r="E132" s="8" t="n">
        <v>2</v>
      </c>
      <c r="F132" s="9" t="n">
        <v>98000</v>
      </c>
      <c r="G132" s="10">
        <f>E132*F132</f>
        <v>196000</v>
      </c>
      <c r="H132" s="8" t="n">
        <v>141120</v>
      </c>
      <c r="I132" s="11">
        <f>IF(G132=0,"",(G132-H132)/G132)</f>
        <v>0.28</v>
      </c>
      <c r="J132" s="7" t="n"/>
      <c r="K132" s="12" t="n">
        <v>46168</v>
      </c>
    </row>
    <row r="133">
      <c r="A133" s="5" t="n">
        <v>129</v>
      </c>
      <c r="B133" s="6" t="n">
        <v>46138</v>
      </c>
      <c r="C133" s="7" t="inlineStr">
        <is>
          <t>サンプル物産株式会社</t>
        </is>
      </c>
      <c r="D133" s="7" t="inlineStr">
        <is>
          <t>ノートPC</t>
        </is>
      </c>
      <c r="E133" s="8" t="n">
        <v>3</v>
      </c>
      <c r="F133" s="9" t="n">
        <v>158000</v>
      </c>
      <c r="G133" s="10">
        <f>E133*F133</f>
        <v>474000</v>
      </c>
      <c r="H133" s="8" t="n">
        <v>341280</v>
      </c>
      <c r="I133" s="11">
        <f>IF(G133=0,"",(G133-H133)/G133)</f>
        <v>0.28</v>
      </c>
      <c r="J133" s="7" t="n"/>
      <c r="K133" s="12" t="n">
        <v>46168</v>
      </c>
    </row>
    <row r="134">
      <c r="A134" s="5" t="n">
        <v>130</v>
      </c>
      <c r="B134" s="6" t="n">
        <v>46138</v>
      </c>
      <c r="C134" s="7" t="inlineStr">
        <is>
          <t>株式会社ﾃｽﾄｶﾅ</t>
        </is>
      </c>
      <c r="D134" s="7" t="inlineStr">
        <is>
          <t>USBメモリ 64GB</t>
        </is>
      </c>
      <c r="E134" s="8" t="n">
        <v>4</v>
      </c>
      <c r="F134" s="9" t="n">
        <v>1980</v>
      </c>
      <c r="G134" s="10">
        <f>E134*F134</f>
        <v>7920</v>
      </c>
      <c r="H134" s="8" t="n">
        <v>5702</v>
      </c>
      <c r="I134" s="11">
        <f>IF(G134=0,"",(G134-H134)/G134)</f>
        <v>0.28005050505050505</v>
      </c>
      <c r="J134" s="7" t="n"/>
      <c r="K134" s="12" t="n">
        <v>46168</v>
      </c>
    </row>
    <row r="135">
      <c r="A135" s="5" t="n">
        <v>131</v>
      </c>
      <c r="B135" s="6" t="n">
        <v>46139</v>
      </c>
      <c r="C135" s="7" t="inlineStr">
        <is>
          <t>株式会社サンプル商事</t>
        </is>
      </c>
      <c r="D135" s="7" t="inlineStr">
        <is>
          <t>コピー用紙A4(500枚×5冊)</t>
        </is>
      </c>
      <c r="E135" s="8" t="n">
        <v>5</v>
      </c>
      <c r="F135" s="9" t="n">
        <v>480</v>
      </c>
      <c r="G135" s="10">
        <f>E135*F135</f>
        <v>2400</v>
      </c>
      <c r="H135" s="8" t="n">
        <v>1728</v>
      </c>
      <c r="I135" s="11">
        <f>IF(G135=0,"",(G135-H135)/G135)</f>
        <v>0.28</v>
      </c>
      <c r="J135" s="7" t="n"/>
      <c r="K135" s="12" t="n">
        <v>46169</v>
      </c>
    </row>
    <row r="136">
      <c r="A136" s="5" t="n">
        <v>132</v>
      </c>
      <c r="B136" s="6" t="n">
        <v>46139</v>
      </c>
      <c r="C136" s="7" t="inlineStr">
        <is>
          <t>有限会社テスト工業</t>
        </is>
      </c>
      <c r="D136" s="7" t="inlineStr">
        <is>
          <t>トナーカートリッジ</t>
        </is>
      </c>
      <c r="E136" s="8" t="n">
        <v>6</v>
      </c>
      <c r="F136" s="9" t="n">
        <v>12800</v>
      </c>
      <c r="G136" s="10">
        <f>E136*F136</f>
        <v>76800</v>
      </c>
      <c r="H136" s="8" t="n">
        <v>55296</v>
      </c>
      <c r="I136" s="11">
        <f>IF(G136=0,"",(G136-H136)/G136)</f>
        <v>0.28</v>
      </c>
      <c r="J136" s="7" t="n"/>
      <c r="K136" s="12" t="n">
        <v>46169</v>
      </c>
    </row>
    <row r="137">
      <c r="A137" s="5" t="n">
        <v>133</v>
      </c>
      <c r="B137" s="6" t="n">
        <v>46139</v>
      </c>
      <c r="C137" s="7" t="inlineStr">
        <is>
          <t>合同会社見本ソリューションズ東日本支社</t>
        </is>
      </c>
      <c r="D137" s="7" t="inlineStr">
        <is>
          <t>保守サービス(年間)</t>
        </is>
      </c>
      <c r="E137" s="8" t="n">
        <v>7</v>
      </c>
      <c r="F137" s="9" t="n">
        <v>98000</v>
      </c>
      <c r="G137" s="10">
        <f>E137*F137</f>
        <v>686000</v>
      </c>
      <c r="H137" s="8" t="n">
        <v>493920</v>
      </c>
      <c r="I137" s="11">
        <f>IF(G137=0,"",(G137-H137)/G137)</f>
        <v>0.28</v>
      </c>
      <c r="J137" s="7" t="n"/>
      <c r="K137" s="12" t="n">
        <v>46169</v>
      </c>
    </row>
    <row r="138">
      <c r="A138" s="5" t="n">
        <v>134</v>
      </c>
      <c r="B138" s="6" t="n">
        <v>46139</v>
      </c>
      <c r="C138" s="7" t="inlineStr">
        <is>
          <t>サンプル物産株式会社</t>
        </is>
      </c>
      <c r="D138" s="7" t="inlineStr">
        <is>
          <t>ノートPC</t>
        </is>
      </c>
      <c r="E138" s="8" t="n">
        <v>8</v>
      </c>
      <c r="F138" s="9" t="n">
        <v>158000</v>
      </c>
      <c r="G138" s="10">
        <f>E138*F138</f>
        <v>1264000</v>
      </c>
      <c r="H138" s="8" t="n">
        <v>910080</v>
      </c>
      <c r="I138" s="11">
        <f>IF(G138=0,"",(G138-H138)/G138)</f>
        <v>0.28</v>
      </c>
      <c r="J138" s="7" t="n"/>
      <c r="K138" s="12" t="n">
        <v>46169</v>
      </c>
    </row>
    <row r="139">
      <c r="A139" s="5" t="n">
        <v>135</v>
      </c>
      <c r="B139" s="6" t="n">
        <v>46139</v>
      </c>
      <c r="C139" s="7" t="inlineStr">
        <is>
          <t>株式会社ﾃｽﾄｶﾅ</t>
        </is>
      </c>
      <c r="D139" s="7" t="inlineStr">
        <is>
          <t>USBメモリ 64GB</t>
        </is>
      </c>
      <c r="E139" s="8" t="n">
        <v>9</v>
      </c>
      <c r="F139" s="9" t="n">
        <v>1980</v>
      </c>
      <c r="G139" s="10">
        <f>E139*F139</f>
        <v>17820</v>
      </c>
      <c r="H139" s="8" t="n">
        <v>12830</v>
      </c>
      <c r="I139" s="11">
        <f>IF(G139=0,"",(G139-H139)/G139)</f>
        <v>0.28002244668911336</v>
      </c>
      <c r="J139" s="7" t="n"/>
      <c r="K139" s="12" t="n">
        <v>46169</v>
      </c>
    </row>
    <row r="140">
      <c r="A140" s="5" t="n">
        <v>136</v>
      </c>
      <c r="B140" s="6" t="n">
        <v>46140</v>
      </c>
      <c r="C140" s="7" t="inlineStr">
        <is>
          <t>株式会社サンプル商事</t>
        </is>
      </c>
      <c r="D140" s="7" t="inlineStr">
        <is>
          <t>コピー用紙A4(500枚×5冊)</t>
        </is>
      </c>
      <c r="E140" s="8" t="n">
        <v>1</v>
      </c>
      <c r="F140" s="9" t="n">
        <v>480</v>
      </c>
      <c r="G140" s="10">
        <f>E140*F140</f>
        <v>480</v>
      </c>
      <c r="H140" s="8" t="n">
        <v>346</v>
      </c>
      <c r="I140" s="11">
        <f>IF(G140=0,"",(G140-H140)/G140)</f>
        <v>0.2791666666666667</v>
      </c>
      <c r="J140" s="7" t="n"/>
      <c r="K140" s="12" t="n">
        <v>46170</v>
      </c>
    </row>
    <row r="141">
      <c r="A141" s="5" t="n">
        <v>137</v>
      </c>
      <c r="B141" s="6" t="n">
        <v>46140</v>
      </c>
      <c r="C141" s="7" t="inlineStr">
        <is>
          <t>有限会社テスト工業</t>
        </is>
      </c>
      <c r="D141" s="7" t="inlineStr">
        <is>
          <t>トナーカートリッジ</t>
        </is>
      </c>
      <c r="E141" s="8" t="n">
        <v>2</v>
      </c>
      <c r="F141" s="9" t="n">
        <v>12800</v>
      </c>
      <c r="G141" s="10">
        <f>E141*F141</f>
        <v>25600</v>
      </c>
      <c r="H141" s="8" t="n">
        <v>18432</v>
      </c>
      <c r="I141" s="11">
        <f>IF(G141=0,"",(G141-H141)/G141)</f>
        <v>0.28</v>
      </c>
      <c r="J141" s="7" t="inlineStr">
        <is>
          <t>要確認</t>
        </is>
      </c>
      <c r="K141" s="12" t="n">
        <v>46170</v>
      </c>
    </row>
    <row r="142">
      <c r="A142" s="5" t="n">
        <v>138</v>
      </c>
      <c r="B142" s="6" t="n">
        <v>46140</v>
      </c>
      <c r="C142" s="7" t="inlineStr">
        <is>
          <t>合同会社見本ソリューションズ東日本支社</t>
        </is>
      </c>
      <c r="D142" s="7" t="inlineStr">
        <is>
          <t>保守サービス(年間)</t>
        </is>
      </c>
      <c r="E142" s="8" t="n">
        <v>3</v>
      </c>
      <c r="F142" s="9" t="n">
        <v>98000</v>
      </c>
      <c r="G142" s="10">
        <f>E142*F142</f>
        <v>294000</v>
      </c>
      <c r="H142" s="8" t="n">
        <v>211680</v>
      </c>
      <c r="I142" s="11">
        <f>IF(G142=0,"",(G142-H142)/G142)</f>
        <v>0.28</v>
      </c>
      <c r="J142" s="7" t="n"/>
      <c r="K142" s="12" t="n">
        <v>46170</v>
      </c>
    </row>
    <row r="143">
      <c r="A143" s="5" t="n">
        <v>139</v>
      </c>
      <c r="B143" s="6" t="n">
        <v>46140</v>
      </c>
      <c r="C143" s="7" t="inlineStr">
        <is>
          <t>サンプル物産株式会社</t>
        </is>
      </c>
      <c r="D143" s="7" t="inlineStr">
        <is>
          <t>ノートPC</t>
        </is>
      </c>
      <c r="E143" s="8" t="n">
        <v>4</v>
      </c>
      <c r="F143" s="9" t="n">
        <v>158000</v>
      </c>
      <c r="G143" s="10">
        <f>E143*F143</f>
        <v>632000</v>
      </c>
      <c r="H143" s="8" t="n">
        <v>455040</v>
      </c>
      <c r="I143" s="11">
        <f>IF(G143=0,"",(G143-H143)/G143)</f>
        <v>0.28</v>
      </c>
      <c r="J143" s="7" t="n"/>
      <c r="K143" s="12" t="n">
        <v>46170</v>
      </c>
    </row>
    <row r="144">
      <c r="A144" s="5" t="n">
        <v>140</v>
      </c>
      <c r="B144" s="6" t="n">
        <v>46140</v>
      </c>
      <c r="C144" s="7" t="inlineStr">
        <is>
          <t>株式会社ﾃｽﾄｶﾅ</t>
        </is>
      </c>
      <c r="D144" s="7" t="inlineStr">
        <is>
          <t>USBメモリ 64GB</t>
        </is>
      </c>
      <c r="E144" s="8" t="n">
        <v>5</v>
      </c>
      <c r="F144" s="9" t="n">
        <v>1980</v>
      </c>
      <c r="G144" s="10">
        <f>E144*F144</f>
        <v>9900</v>
      </c>
      <c r="H144" s="8" t="n">
        <v>7128</v>
      </c>
      <c r="I144" s="11">
        <f>IF(G144=0,"",(G144-H144)/G144)</f>
        <v>0.28</v>
      </c>
      <c r="J144" s="7" t="n"/>
      <c r="K144" s="12" t="n">
        <v>46170</v>
      </c>
    </row>
    <row r="145">
      <c r="A145" s="5" t="n">
        <v>141</v>
      </c>
      <c r="B145" s="6" t="n">
        <v>46141</v>
      </c>
      <c r="C145" s="7" t="inlineStr">
        <is>
          <t>株式会社サンプル商事</t>
        </is>
      </c>
      <c r="D145" s="7" t="inlineStr">
        <is>
          <t>コピー用紙A4(500枚×5冊)</t>
        </is>
      </c>
      <c r="E145" s="8" t="n">
        <v>6</v>
      </c>
      <c r="F145" s="9" t="n">
        <v>480</v>
      </c>
      <c r="G145" s="10">
        <f>E145*F145</f>
        <v>2880</v>
      </c>
      <c r="H145" s="8" t="n">
        <v>2074</v>
      </c>
      <c r="I145" s="11">
        <f>IF(G145=0,"",(G145-H145)/G145)</f>
        <v>0.2798611111111111</v>
      </c>
      <c r="J145" s="7" t="n"/>
      <c r="K145" s="12" t="n">
        <v>46171</v>
      </c>
    </row>
    <row r="146">
      <c r="A146" s="5" t="n">
        <v>142</v>
      </c>
      <c r="B146" s="6" t="n">
        <v>46141</v>
      </c>
      <c r="C146" s="7" t="inlineStr">
        <is>
          <t>有限会社テスト工業</t>
        </is>
      </c>
      <c r="D146" s="7" t="inlineStr">
        <is>
          <t>トナーカートリッジ</t>
        </is>
      </c>
      <c r="E146" s="8" t="n">
        <v>7</v>
      </c>
      <c r="F146" s="9" t="n">
        <v>12800</v>
      </c>
      <c r="G146" s="10">
        <f>E146*F146</f>
        <v>89600</v>
      </c>
      <c r="H146" s="8" t="n">
        <v>64512</v>
      </c>
      <c r="I146" s="11">
        <f>IF(G146=0,"",(G146-H146)/G146)</f>
        <v>0.28</v>
      </c>
      <c r="J146" s="7" t="n"/>
      <c r="K146" s="12" t="n">
        <v>46171</v>
      </c>
    </row>
    <row r="147">
      <c r="A147" s="5" t="n">
        <v>143</v>
      </c>
      <c r="B147" s="6" t="n">
        <v>46141</v>
      </c>
      <c r="C147" s="7" t="inlineStr">
        <is>
          <t>合同会社見本ソリューションズ東日本支社</t>
        </is>
      </c>
      <c r="D147" s="7" t="inlineStr">
        <is>
          <t>保守サービス(年間)</t>
        </is>
      </c>
      <c r="E147" s="8" t="n">
        <v>8</v>
      </c>
      <c r="F147" s="9" t="n">
        <v>98000</v>
      </c>
      <c r="G147" s="10">
        <f>E147*F147</f>
        <v>784000</v>
      </c>
      <c r="H147" s="8" t="n">
        <v>564480</v>
      </c>
      <c r="I147" s="11">
        <f>IF(G147=0,"",(G147-H147)/G147)</f>
        <v>0.28</v>
      </c>
      <c r="J147" s="7" t="n"/>
      <c r="K147" s="12" t="n">
        <v>46171</v>
      </c>
    </row>
    <row r="148">
      <c r="A148" s="5" t="n">
        <v>144</v>
      </c>
      <c r="B148" s="6" t="n">
        <v>46141</v>
      </c>
      <c r="C148" s="7" t="inlineStr">
        <is>
          <t>サンプル物産株式会社</t>
        </is>
      </c>
      <c r="D148" s="7" t="inlineStr">
        <is>
          <t>ノートPC</t>
        </is>
      </c>
      <c r="E148" s="8" t="n">
        <v>9</v>
      </c>
      <c r="F148" s="9" t="n">
        <v>158000</v>
      </c>
      <c r="G148" s="10">
        <f>E148*F148</f>
        <v>1422000</v>
      </c>
      <c r="H148" s="8" t="n">
        <v>1023840</v>
      </c>
      <c r="I148" s="11">
        <f>IF(G148=0,"",(G148-H148)/G148)</f>
        <v>0.28</v>
      </c>
      <c r="J148" s="7" t="n"/>
      <c r="K148" s="12" t="n">
        <v>46171</v>
      </c>
    </row>
    <row r="149">
      <c r="A149" s="5" t="n">
        <v>145</v>
      </c>
      <c r="B149" s="6" t="n">
        <v>46141</v>
      </c>
      <c r="C149" s="7" t="inlineStr">
        <is>
          <t>株式会社ﾃｽﾄｶﾅ</t>
        </is>
      </c>
      <c r="D149" s="7" t="inlineStr">
        <is>
          <t>USBメモリ 64GB</t>
        </is>
      </c>
      <c r="E149" s="8" t="n">
        <v>1</v>
      </c>
      <c r="F149" s="9" t="n">
        <v>1980</v>
      </c>
      <c r="G149" s="10">
        <f>E149*F149</f>
        <v>1980</v>
      </c>
      <c r="H149" s="8" t="n">
        <v>1426</v>
      </c>
      <c r="I149" s="11">
        <f>IF(G149=0,"",(G149-H149)/G149)</f>
        <v>0.2797979797979798</v>
      </c>
      <c r="J149" s="7" t="n"/>
      <c r="K149" s="12" t="n">
        <v>46171</v>
      </c>
    </row>
    <row r="150">
      <c r="A150" s="5" t="n">
        <v>146</v>
      </c>
      <c r="B150" s="6" t="n">
        <v>46142</v>
      </c>
      <c r="C150" s="7" t="inlineStr">
        <is>
          <t>株式会社サンプル商事</t>
        </is>
      </c>
      <c r="D150" s="7" t="inlineStr">
        <is>
          <t>コピー用紙A4(500枚×5冊)</t>
        </is>
      </c>
      <c r="E150" s="8" t="n">
        <v>2</v>
      </c>
      <c r="F150" s="9" t="n">
        <v>480</v>
      </c>
      <c r="G150" s="10">
        <f>E150*F150</f>
        <v>960</v>
      </c>
      <c r="H150" s="8" t="n">
        <v>691</v>
      </c>
      <c r="I150" s="11">
        <f>IF(G150=0,"",(G150-H150)/G150)</f>
        <v>0.28020833333333334</v>
      </c>
      <c r="J150" s="7" t="n"/>
      <c r="K150" s="12" t="n">
        <v>46172</v>
      </c>
    </row>
    <row r="151">
      <c r="A151" s="5" t="n">
        <v>147</v>
      </c>
      <c r="B151" s="6" t="n">
        <v>46142</v>
      </c>
      <c r="C151" s="7" t="inlineStr">
        <is>
          <t>有限会社テスト工業</t>
        </is>
      </c>
      <c r="D151" s="7" t="inlineStr">
        <is>
          <t>トナーカートリッジ</t>
        </is>
      </c>
      <c r="E151" s="8" t="n">
        <v>3</v>
      </c>
      <c r="F151" s="9" t="n">
        <v>12800</v>
      </c>
      <c r="G151" s="10">
        <f>E151*F151</f>
        <v>38400</v>
      </c>
      <c r="H151" s="8" t="n">
        <v>27648</v>
      </c>
      <c r="I151" s="11">
        <f>IF(G151=0,"",(G151-H151)/G151)</f>
        <v>0.28</v>
      </c>
      <c r="J151" s="7" t="n"/>
      <c r="K151" s="12" t="n">
        <v>46172</v>
      </c>
    </row>
    <row r="152">
      <c r="A152" s="5" t="n">
        <v>148</v>
      </c>
      <c r="B152" s="6" t="n">
        <v>46142</v>
      </c>
      <c r="C152" s="7" t="inlineStr">
        <is>
          <t>合同会社見本ソリューションズ東日本支社</t>
        </is>
      </c>
      <c r="D152" s="7" t="inlineStr">
        <is>
          <t>保守サービス(年間)</t>
        </is>
      </c>
      <c r="E152" s="8" t="n">
        <v>4</v>
      </c>
      <c r="F152" s="9" t="n">
        <v>98000</v>
      </c>
      <c r="G152" s="10">
        <f>E152*F152</f>
        <v>392000</v>
      </c>
      <c r="H152" s="8" t="n">
        <v>282240</v>
      </c>
      <c r="I152" s="11">
        <f>IF(G152=0,"",(G152-H152)/G152)</f>
        <v>0.28</v>
      </c>
      <c r="J152" s="7" t="n"/>
      <c r="K152" s="12" t="n">
        <v>46172</v>
      </c>
    </row>
    <row r="153">
      <c r="A153" s="5" t="n">
        <v>149</v>
      </c>
      <c r="B153" s="6" t="n">
        <v>46142</v>
      </c>
      <c r="C153" s="7" t="inlineStr">
        <is>
          <t>サンプル物産株式会社</t>
        </is>
      </c>
      <c r="D153" s="7" t="inlineStr">
        <is>
          <t>ノートPC</t>
        </is>
      </c>
      <c r="E153" s="8" t="n">
        <v>5</v>
      </c>
      <c r="F153" s="9" t="n">
        <v>158000</v>
      </c>
      <c r="G153" s="10">
        <f>E153*F153</f>
        <v>790000</v>
      </c>
      <c r="H153" s="8" t="n">
        <v>568800</v>
      </c>
      <c r="I153" s="11">
        <f>IF(G153=0,"",(G153-H153)/G153)</f>
        <v>0.28</v>
      </c>
      <c r="J153" s="7" t="n"/>
      <c r="K153" s="12" t="n">
        <v>46172</v>
      </c>
    </row>
    <row r="154" hidden="1">
      <c r="A154" s="5" t="n">
        <v>150</v>
      </c>
      <c r="B154" s="6" t="n">
        <v>46142</v>
      </c>
      <c r="C154" s="7" t="inlineStr">
        <is>
          <t>株式会社ﾃｽﾄｶﾅ</t>
        </is>
      </c>
      <c r="D154" s="7" t="inlineStr">
        <is>
          <t>USBメモリ 64GB</t>
        </is>
      </c>
      <c r="E154" s="8" t="n">
        <v>6</v>
      </c>
      <c r="F154" s="9" t="n">
        <v>1980</v>
      </c>
      <c r="G154" s="10">
        <f>E154*F154</f>
        <v>11880</v>
      </c>
      <c r="H154" s="8" t="n">
        <v>8554</v>
      </c>
      <c r="I154" s="11">
        <f>IF(G154=0,"",(G154-H154)/G154)</f>
        <v>0.27996632996633</v>
      </c>
      <c r="J154" s="7" t="n"/>
      <c r="K154" s="12" t="n">
        <v>46172</v>
      </c>
    </row>
    <row r="155">
      <c r="A155" s="13" t="inlineStr">
        <is>
          <t>合計</t>
        </is>
      </c>
      <c r="B155" s="14" t="n"/>
      <c r="C155" s="14" t="n"/>
      <c r="D155" s="14" t="n"/>
      <c r="E155" s="14" t="n"/>
      <c r="F155" s="14" t="n"/>
      <c r="G155" s="15">
        <f>SUBTOTAL(9,G5:G154)</f>
        <v>41115780</v>
      </c>
      <c r="H155" s="16">
        <f>SUM(H5:H154)</f>
        <v>29603363</v>
      </c>
      <c r="I155" s="14" t="n"/>
      <c r="J155" s="14" t="n"/>
      <c r="K155" s="14" t="n"/>
    </row>
  </sheetData>
  <mergeCells count="3">
    <mergeCell ref="A155:F155"/>
    <mergeCell ref="A1:K1"/>
    <mergeCell ref="J2:K2"/>
  </mergeCells>
  <printOptions horizontalCentered="1"/>
  <pageMargins left="0.4" right="0.4" top="0.6" bottom="0.6" header="0.3" footer="0.3"/>
  <pageSetup orientation="landscape" paperSize="9" fitToHeight="0" fitToWidth="1"/>
  <headerFooter>
    <oddHeader>&amp;R&amp;A</oddHeader>
    <oddFooter>&amp;C&amp;P / &amp;N ページ&amp;R印刷日 &amp;D</oddFooter>
    <evenHeader/>
    <evenFooter/>
    <firstHeader/>
    <firstFooter/>
  </headerFooter>
  <rowBreaks count="1" manualBreakCount="1">
    <brk id="5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2026-04-01T00:00:00Z</dcterms:modified>
</cp:coreProperties>
</file>