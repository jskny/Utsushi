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表紙" sheetId="1" state="visible" r:id="rId1"/>
    <sheet name="注文書" sheetId="2" state="visible" r:id="rId2"/>
    <sheet name="マスタ" sheetId="3" state="hidden" r:id="rId3"/>
  </sheets>
  <definedNames>
    <definedName name="_xlnm.Print_Area" localSheetId="1">'注文書'!$A$1:$G$36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@&quot; 御中&quot;"/>
    <numFmt numFmtId="165" formatCode="yyyy-mm-dd"/>
    <numFmt numFmtId="166" formatCode="[$-ja-JP]ggge&quot;年&quot;m&quot;月&quot;d&quot;日&quot;"/>
    <numFmt numFmtId="167" formatCode="#,##0_ ;[Red]\-#,##0\ "/>
    <numFmt numFmtId="168" formatCode="&quot;¥&quot;#,##0;[Red]&quot;¥&quot;-#,##0"/>
    <numFmt numFmtId="169" formatCode="[h]:mm"/>
    <numFmt numFmtId="170" formatCode="#,##0,&quot;千円&quot;"/>
    <numFmt numFmtId="171" formatCode="0000"/>
    <numFmt numFmtId="172" formatCode="0;&quot;▲&quot;0"/>
    <numFmt numFmtId="173" formatCode="ge.m.d"/>
  </numFmts>
  <fonts count="10"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sz val="11"/>
    </font>
    <font>
      <name val="游ゴシック"/>
      <family val="3"/>
      <b val="1"/>
      <color theme="0"/>
      <sz val="20"/>
    </font>
    <font>
      <name val="游ゴシック"/>
      <charset val="128"/>
      <family val="3"/>
      <b val="1"/>
      <sz val="14"/>
    </font>
    <font>
      <name val="游ゴシック"/>
      <charset val="128"/>
      <family val="3"/>
      <b val="1"/>
      <sz val="10"/>
    </font>
    <font>
      <name val="游ゴシック"/>
      <charset val="128"/>
      <family val="3"/>
      <sz val="10"/>
    </font>
    <font>
      <name val="游ゴシック"/>
      <charset val="128"/>
      <family val="3"/>
      <color rgb="00808080"/>
      <sz val="9"/>
    </font>
    <font>
      <name val="游ゴシック"/>
      <charset val="128"/>
      <family val="3"/>
      <sz val="9"/>
    </font>
    <font>
      <name val="游ゴシック"/>
      <charset val="128"/>
      <family val="3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theme="4" tint="-0.249977111117893"/>
      </patternFill>
    </fill>
    <fill>
      <patternFill patternType="solid">
        <fgColor theme="4" tint="0.7999816888943144"/>
      </patternFill>
    </fill>
    <fill>
      <patternFill patternType="darkTrellis">
        <fgColor rgb="00BFBFBF"/>
        <bgColor rgb="00FFFFFF"/>
      </patternFill>
    </fill>
    <fill>
      <gradientFill type="linear">
        <stop position="0">
          <color rgb="00FFFFFF"/>
        </stop>
        <stop position="1">
          <color rgb="009BC2E6"/>
        </stop>
      </gradientFill>
    </fill>
  </fills>
  <borders count="2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double">
        <color rgb="00000000"/>
      </bottom>
    </border>
    <border>
      <bottom style="double"/>
    </border>
    <border>
      <left style="thin">
        <color rgb="00000000"/>
      </left>
      <right style="thin">
        <color rgb="00000000"/>
      </right>
      <top style="hair"/>
      <bottom style="hair"/>
    </border>
    <border>
      <left style="thin">
        <color rgb="00000000"/>
      </left>
      <right style="thin">
        <color rgb="00000000"/>
      </right>
      <top style="hair"/>
      <bottom style="double"/>
    </border>
    <border>
      <left style="medium"/>
      <right style="thin">
        <color rgb="00000000"/>
      </right>
      <top style="medium"/>
      <bottom style="medium"/>
    </border>
    <border>
      <left style="medium"/>
      <right/>
      <top/>
      <bottom/>
      <diagonal/>
    </border>
    <border>
      <left style="medium"/>
      <right style="thin">
        <color rgb="00000000"/>
      </right>
      <top/>
      <bottom/>
      <diagonal/>
    </border>
    <border>
      <left style="medium"/>
      <right style="thin">
        <color rgb="00000000"/>
      </right>
      <top/>
      <bottom style="medium"/>
      <diagonal/>
    </border>
    <border>
      <left style="medium"/>
    </border>
    <border>
      <left style="medium"/>
      <bottom style="medium"/>
    </border>
    <border>
      <left style="thin">
        <color rgb="00000000"/>
      </left>
      <right style="thin">
        <color rgb="00000000"/>
      </right>
      <top style="dashed"/>
      <bottom style="dashed"/>
    </border>
    <border>
      <top style="dashed"/>
      <bottom style="dashed"/>
    </border>
    <border diagonalUp="1" diagonalDown="1">
      <left style="thin">
        <color rgb="00000000"/>
      </left>
      <right style="thin">
        <color rgb="00000000"/>
      </right>
      <top style="dashed"/>
      <bottom style="medium"/>
      <diagonal style="thin">
        <color rgb="00FF0000"/>
      </diagonal>
    </border>
    <border>
      <right style="medium"/>
      <top style="medium"/>
      <bottom style="dotted"/>
    </border>
    <border>
      <top style="medium"/>
      <bottom style="dotted"/>
    </border>
    <border>
      <right style="medium"/>
    </border>
    <border>
      <right style="medium"/>
      <bottom style="medium"/>
    </border>
    <border>
      <bottom style="medium"/>
    </border>
  </borders>
  <cellStyleXfs count="1">
    <xf numFmtId="0" fontId="1" fillId="0" borderId="0"/>
  </cellStyleXfs>
  <cellXfs count="53">
    <xf numFmtId="0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4" fillId="0" borderId="3" pivotButton="0" quotePrefix="0" xfId="0"/>
    <xf numFmtId="0" fontId="4" fillId="0" borderId="2" pivotButton="0" quotePrefix="0" xfId="0"/>
    <xf numFmtId="0" fontId="2" fillId="0" borderId="0" applyAlignment="1" pivotButton="0" quotePrefix="0" xfId="0">
      <alignment horizontal="distributed" indent="1"/>
    </xf>
    <xf numFmtId="166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5" fillId="0" borderId="0" pivotButton="0" quotePrefix="0" xfId="0"/>
    <xf numFmtId="0" fontId="2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/>
    </xf>
    <xf numFmtId="0" fontId="2" fillId="0" borderId="4" pivotButton="0" quotePrefix="0" xfId="0"/>
    <xf numFmtId="3" fontId="2" fillId="0" borderId="4" pivotButton="0" quotePrefix="0" xfId="0"/>
    <xf numFmtId="167" fontId="2" fillId="0" borderId="4" pivotButton="0" quotePrefix="0" xfId="0"/>
    <xf numFmtId="0" fontId="2" fillId="0" borderId="5" applyAlignment="1" pivotButton="0" quotePrefix="0" xfId="0">
      <alignment horizontal="center"/>
    </xf>
    <xf numFmtId="0" fontId="2" fillId="0" borderId="5" pivotButton="0" quotePrefix="0" xfId="0"/>
    <xf numFmtId="3" fontId="2" fillId="0" borderId="5" pivotButton="0" quotePrefix="0" xfId="0"/>
    <xf numFmtId="167" fontId="2" fillId="0" borderId="5" pivotButton="0" quotePrefix="0" xfId="0"/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168" fontId="6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8" fontId="5" fillId="0" borderId="1" pivotButton="0" quotePrefix="0" xfId="0"/>
    <xf numFmtId="0" fontId="7" fillId="0" borderId="0" pivotButton="0" quotePrefix="0" xfId="0"/>
    <xf numFmtId="0" fontId="8" fillId="0" borderId="6" applyAlignment="1" pivotButton="0" quotePrefix="0" xfId="0">
      <alignment horizontal="center" vertical="center" textRotation="255"/>
    </xf>
    <xf numFmtId="0" fontId="8" fillId="0" borderId="12" applyAlignment="1" pivotButton="0" quotePrefix="0" xfId="0">
      <alignment horizontal="distributed" vertical="center"/>
    </xf>
    <xf numFmtId="0" fontId="2" fillId="0" borderId="15" applyAlignment="1" pivotButton="0" quotePrefix="0" xfId="0">
      <alignment vertical="center"/>
    </xf>
    <xf numFmtId="0" fontId="0" fillId="0" borderId="16" pivotButton="0" quotePrefix="0" xfId="0"/>
    <xf numFmtId="0" fontId="0" fillId="0" borderId="15" pivotButton="0" quotePrefix="0" xfId="0"/>
    <xf numFmtId="0" fontId="0" fillId="0" borderId="10" pivotButton="0" quotePrefix="0" xfId="0"/>
    <xf numFmtId="0" fontId="8" fillId="0" borderId="12" applyAlignment="1" pivotButton="0" quotePrefix="0" xfId="0">
      <alignment horizontal="centerContinuous"/>
    </xf>
    <xf numFmtId="0" fontId="2" fillId="0" borderId="13" pivotButton="0" quotePrefix="0" xfId="0"/>
    <xf numFmtId="0" fontId="0" fillId="0" borderId="17" pivotButton="0" quotePrefix="0" xfId="0"/>
    <xf numFmtId="0" fontId="8" fillId="4" borderId="12" pivotButton="0" quotePrefix="0" xfId="0"/>
    <xf numFmtId="9" fontId="2" fillId="0" borderId="0" pivotButton="0" quotePrefix="0" xfId="0"/>
    <xf numFmtId="169" fontId="2" fillId="0" borderId="0" pivotButton="0" quotePrefix="0" xfId="0"/>
    <xf numFmtId="18" fontId="2" fillId="0" borderId="0" pivotButton="0" quotePrefix="0" xfId="0"/>
    <xf numFmtId="170" fontId="2" fillId="0" borderId="17" pivotButton="0" quotePrefix="0" xfId="0"/>
    <xf numFmtId="0" fontId="8" fillId="5" borderId="12" pivotButton="0" quotePrefix="0" xfId="0"/>
    <xf numFmtId="171" fontId="2" fillId="0" borderId="0" pivotButton="0" quotePrefix="0" xfId="0"/>
    <xf numFmtId="172" fontId="2" fillId="0" borderId="0" pivotButton="0" quotePrefix="0" xfId="0"/>
    <xf numFmtId="12" fontId="2" fillId="0" borderId="0" pivotButton="0" quotePrefix="0" xfId="0"/>
    <xf numFmtId="11" fontId="2" fillId="0" borderId="17" pivotButton="0" quotePrefix="0" xfId="0"/>
    <xf numFmtId="0" fontId="0" fillId="0" borderId="11" pivotButton="0" quotePrefix="0" xfId="0"/>
    <xf numFmtId="0" fontId="8" fillId="0" borderId="14" pivotButton="0" quotePrefix="0" xfId="0"/>
    <xf numFmtId="0" fontId="0" fillId="0" borderId="19" pivotButton="0" quotePrefix="0" xfId="0"/>
    <xf numFmtId="173" fontId="2" fillId="0" borderId="19" pivotButton="0" quotePrefix="0" xfId="0"/>
    <xf numFmtId="17" fontId="2" fillId="0" borderId="19" pivotButton="0" quotePrefix="0" xfId="0"/>
    <xf numFmtId="0" fontId="2" fillId="0" borderId="19" pivotButton="0" quotePrefix="0" xfId="0"/>
    <xf numFmtId="0" fontId="2" fillId="0" borderId="18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品目別金額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'注文書'!G9</f>
            </strRef>
          </tx>
          <spPr>
            <a:ln>
              <a:prstDash val="solid"/>
            </a:ln>
          </spPr>
          <cat>
            <numRef>
              <f>'注文書'!$C$10:$C$12</f>
            </numRef>
          </cat>
          <val>
            <numRef>
              <f>'注文書'!$G$10:$G$12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担当者</author>
  </authors>
  <commentList>
    <comment ref="G4" authorId="0" shapeId="0">
      <text>
        <t>注文番号は基幹システムから採番する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Relationship Type="http://schemas.openxmlformats.org/officeDocument/2006/relationships/image" Target="/xl/media/image2.jpeg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31</row>
      <rowOff>0</rowOff>
    </from>
    <ext cx="2880000" cy="14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</row>
      <rowOff>0</rowOff>
    </from>
    <ext cx="1143000" cy="342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85725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xample.com/contact" TargetMode="External" Id="rId1" /><Relationship Type="http://schemas.openxmlformats.org/officeDocument/2006/relationships/drawing" Target="/xl/drawings/drawing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8.75"/>
  <sheetData>
    <row r="1">
      <c r="A1" s="1" t="inlineStr">
        <is>
          <t>この表紙シートは印刷対象ではない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zoomScale="85" workbookViewId="0">
      <selection activeCell="A1" sqref="A1"/>
    </sheetView>
  </sheetViews>
  <sheetFormatPr baseColWidth="8" defaultRowHeight="18.75"/>
  <cols>
    <col width="4" customWidth="1" min="1" max="1"/>
    <col width="12" customWidth="1" min="2" max="2"/>
    <col width="22" customWidth="1" min="3" max="3"/>
    <col width="8" customWidth="1" min="4" max="4"/>
    <col width="6" customWidth="1" min="5" max="5"/>
    <col width="12" customWidth="1" min="6" max="6"/>
    <col width="14" customWidth="1" min="7" max="7"/>
    <col width="3" customWidth="1" min="8" max="8"/>
  </cols>
  <sheetData>
    <row r="1" ht="32" customHeight="1">
      <c r="A1" s="2" t="inlineStr">
        <is>
          <t>注 文 書</t>
        </is>
      </c>
    </row>
    <row r="3">
      <c r="A3" s="3" t="inlineStr">
        <is>
          <t>(宛先)</t>
        </is>
      </c>
      <c r="B3" s="4" t="n"/>
      <c r="C3" s="4" t="n"/>
      <c r="D3" s="4" t="n"/>
      <c r="F3" s="5" t="inlineStr">
        <is>
          <t>発注日</t>
        </is>
      </c>
      <c r="G3" s="6" t="n">
        <v>46113</v>
      </c>
    </row>
    <row r="4">
      <c r="F4" s="5" t="inlineStr">
        <is>
          <t>注文番号</t>
        </is>
      </c>
      <c r="G4" s="7" t="inlineStr">
        <is>
          <t>(注文番号)</t>
        </is>
      </c>
    </row>
    <row r="5">
      <c r="A5" s="8" t="inlineStr">
        <is>
          <t>支払条件</t>
        </is>
      </c>
      <c r="B5" s="9" t="inlineStr">
        <is>
          <t>銀行振込</t>
        </is>
      </c>
      <c r="C5" s="9" t="n"/>
    </row>
    <row r="6">
      <c r="A6" s="8" t="inlineStr">
        <is>
          <t>納期</t>
        </is>
      </c>
      <c r="B6" s="1" t="inlineStr">
        <is>
          <r>
            <t xml:space="preserve">2026年4月30日 </t>
          </r>
          <r>
            <rPr>
              <rFont val="游ゴシック"/>
              <b val="1"/>
              <color rgb="FFC00000"/>
              <sz val="11"/>
            </rPr>
            <t>(厳守)</t>
          </r>
        </is>
      </c>
    </row>
    <row r="9">
      <c r="A9" s="10" t="inlineStr">
        <is>
          <t>No</t>
        </is>
      </c>
      <c r="B9" s="10" t="inlineStr">
        <is>
          <t>品番</t>
        </is>
      </c>
      <c r="C9" s="10" t="inlineStr">
        <is>
          <t>品名</t>
        </is>
      </c>
      <c r="D9" s="10" t="inlineStr">
        <is>
          <t>数量</t>
        </is>
      </c>
      <c r="E9" s="10" t="inlineStr">
        <is>
          <t>単位</t>
        </is>
      </c>
      <c r="F9" s="10" t="inlineStr">
        <is>
          <t>単価</t>
        </is>
      </c>
      <c r="G9" s="10" t="inlineStr">
        <is>
          <t>金額</t>
        </is>
      </c>
    </row>
    <row r="10">
      <c r="A10" s="11" t="n">
        <v>1</v>
      </c>
      <c r="B10" s="12" t="inlineStr">
        <is>
          <t>P-001</t>
        </is>
      </c>
      <c r="C10" s="12" t="inlineStr">
        <is>
          <t>コピー用紙 A4</t>
        </is>
      </c>
      <c r="D10" s="13" t="n">
        <v>10</v>
      </c>
      <c r="E10" s="12" t="inlineStr">
        <is>
          <t>箱</t>
        </is>
      </c>
      <c r="F10" s="14" t="n">
        <v>4800</v>
      </c>
      <c r="G10" s="14">
        <f>IF(D10="","",D10*F10)</f>
        <v>48000.0</v>
      </c>
    </row>
    <row r="11">
      <c r="A11" s="11" t="n">
        <v>2</v>
      </c>
      <c r="B11" s="12" t="inlineStr">
        <is>
          <t>P-002</t>
        </is>
      </c>
      <c r="C11" s="12" t="inlineStr">
        <is>
          <t>トナーカートリッジ(黒)</t>
        </is>
      </c>
      <c r="D11" s="13" t="n">
        <v>2</v>
      </c>
      <c r="E11" s="12" t="inlineStr">
        <is>
          <t>本</t>
        </is>
      </c>
      <c r="F11" s="14" t="n">
        <v>12800</v>
      </c>
      <c r="G11" s="14">
        <f>IF(D11="","",D11*F11)</f>
        <v>25600.0</v>
      </c>
    </row>
    <row r="12">
      <c r="A12" s="11" t="n">
        <v>3</v>
      </c>
      <c r="B12" s="12" t="inlineStr">
        <is>
          <t>P-003</t>
        </is>
      </c>
      <c r="C12" s="12" t="inlineStr">
        <is>
          <t>値引き</t>
        </is>
      </c>
      <c r="D12" s="13" t="n">
        <v>1</v>
      </c>
      <c r="E12" s="12" t="inlineStr">
        <is>
          <t>式</t>
        </is>
      </c>
      <c r="F12" s="14" t="n">
        <v>-3000</v>
      </c>
      <c r="G12" s="14">
        <f>IF(D12="","",D12*F12)</f>
        <v>-3000.0</v>
      </c>
    </row>
    <row r="13">
      <c r="A13" s="11" t="n"/>
      <c r="B13" s="12" t="n"/>
      <c r="C13" s="12" t="n"/>
      <c r="D13" s="13" t="n"/>
      <c r="E13" s="12" t="n"/>
      <c r="F13" s="14" t="n"/>
      <c r="G13" s="14" t="str">
        <f>IF(D13="","",D13*F13)</f>
        <v/>
      </c>
    </row>
    <row r="14">
      <c r="A14" s="11" t="n"/>
      <c r="B14" s="12" t="n"/>
      <c r="C14" s="12" t="n"/>
      <c r="D14" s="13" t="n"/>
      <c r="E14" s="12" t="n"/>
      <c r="F14" s="14" t="n"/>
      <c r="G14" s="14" t="str">
        <f>IF(D14="","",D14*F14)</f>
        <v/>
      </c>
    </row>
    <row r="15">
      <c r="A15" s="11" t="n"/>
      <c r="B15" s="12" t="n"/>
      <c r="C15" s="12" t="n"/>
      <c r="D15" s="13" t="n"/>
      <c r="E15" s="12" t="n"/>
      <c r="F15" s="14" t="n"/>
      <c r="G15" s="14" t="str">
        <f>IF(D15="","",D15*F15)</f>
        <v/>
      </c>
    </row>
    <row r="16">
      <c r="A16" s="11" t="n"/>
      <c r="B16" s="12" t="n"/>
      <c r="C16" s="12" t="n"/>
      <c r="D16" s="13" t="n"/>
      <c r="E16" s="12" t="n"/>
      <c r="F16" s="14" t="n"/>
      <c r="G16" s="14" t="str">
        <f>IF(D16="","",D16*F16)</f>
        <v/>
      </c>
    </row>
    <row r="17">
      <c r="A17" s="15" t="n"/>
      <c r="B17" s="16" t="n"/>
      <c r="C17" s="16" t="n"/>
      <c r="D17" s="17" t="n"/>
      <c r="E17" s="16" t="n"/>
      <c r="F17" s="18" t="n"/>
      <c r="G17" s="18" t="str">
        <f>IF(D17="","",D17*F17)</f>
        <v/>
      </c>
    </row>
    <row r="18">
      <c r="E18" s="19" t="inlineStr">
        <is>
          <t>小計</t>
        </is>
      </c>
      <c r="F18" s="20" t="n"/>
      <c r="G18" s="21">
        <f>SUM(G10:G17)</f>
        <v>70600.0</v>
      </c>
    </row>
    <row r="19">
      <c r="E19" s="19" t="inlineStr">
        <is>
          <t>消費税(10%)</t>
        </is>
      </c>
      <c r="F19" s="20" t="n"/>
      <c r="G19" s="21">
        <f>ROUNDDOWN(G18*0.1,0)</f>
        <v>7060.0</v>
      </c>
    </row>
    <row r="20">
      <c r="E20" s="22" t="inlineStr">
        <is>
          <t>合計</t>
        </is>
      </c>
      <c r="F20" s="23" t="n"/>
      <c r="G20" s="24">
        <f>G18+G19</f>
        <v>77660.0</v>
      </c>
    </row>
    <row r="22">
      <c r="A22" s="25" t="inlineStr">
        <is>
          <t>宛先の確認:</t>
        </is>
      </c>
      <c r="B22" s="25" t="str">
        <f>A3&amp;" 御中"</f>
        <v>(宛先) 御中</v>
      </c>
    </row>
    <row r="24">
      <c r="A24" s="26" t="inlineStr">
        <is>
          <t>社内記入欄</t>
        </is>
      </c>
      <c r="B24" s="27" t="inlineStr">
        <is>
          <t>承認者</t>
        </is>
      </c>
      <c r="C24" s="28" t="inlineStr">
        <is>
          <t>(承認者)</t>
        </is>
      </c>
      <c r="D24" s="29" t="n"/>
      <c r="E24" s="29" t="n"/>
      <c r="F24" s="29" t="n"/>
      <c r="G24" s="30" t="n"/>
    </row>
    <row r="25">
      <c r="A25" s="31" t="n"/>
      <c r="B25" s="32" t="inlineStr">
        <is>
          <t>受付日</t>
        </is>
      </c>
      <c r="C25" s="33" t="n"/>
      <c r="G25" s="34" t="n"/>
    </row>
    <row r="26">
      <c r="A26" s="31" t="n"/>
      <c r="B26" s="35" t="inlineStr">
        <is>
          <t>網かけ</t>
        </is>
      </c>
      <c r="D26" s="36" t="n">
        <v>0.25</v>
      </c>
      <c r="E26" s="37" t="n">
        <v>1.5</v>
      </c>
      <c r="F26" s="38" t="n">
        <v>0.75</v>
      </c>
      <c r="G26" s="39" t="n">
        <v>1234567.891</v>
      </c>
    </row>
    <row r="27">
      <c r="A27" s="31" t="n"/>
      <c r="B27" s="40" t="inlineStr">
        <is>
          <t>グラデーション</t>
        </is>
      </c>
      <c r="D27" s="41" t="n">
        <v>12</v>
      </c>
      <c r="E27" s="42" t="n">
        <v>-5</v>
      </c>
      <c r="F27" s="43" t="n">
        <v>0.5</v>
      </c>
      <c r="G27" s="44" t="n">
        <v>12345678</v>
      </c>
    </row>
    <row r="28">
      <c r="A28" s="45" t="n"/>
      <c r="B28" s="46" t="inlineStr">
        <is>
          <t>斜線(対象外)</t>
        </is>
      </c>
      <c r="C28" s="47" t="n"/>
      <c r="D28" s="48" t="n">
        <v>46113</v>
      </c>
      <c r="E28" s="49" t="n">
        <v>46113</v>
      </c>
      <c r="F28" s="50" t="b">
        <v>1</v>
      </c>
      <c r="G28" s="51" t="e">
        <f>1/0</f>
        <v>#DIV/0!</v>
      </c>
    </row>
    <row r="30">
      <c r="A30" s="52" t="inlineStr">
        <is>
          <t>お問い合わせ: https://example.com/contact</t>
        </is>
      </c>
    </row>
  </sheetData>
  <mergeCells count="10">
    <mergeCell ref="E20:F20"/>
    <mergeCell ref="A1:G1"/>
    <mergeCell ref="C24:G24"/>
    <mergeCell ref="B5:C5"/>
    <mergeCell ref="B22:D22"/>
    <mergeCell ref="A3:D3"/>
    <mergeCell ref="E19:F19"/>
    <mergeCell ref="A24:A28"/>
    <mergeCell ref="E18:F18"/>
    <mergeCell ref="B6:D6"/>
  </mergeCells>
  <conditionalFormatting sqref="G10:G20">
    <cfRule type="cellIs" priority="1" operator="lessThan" dxfId="0">
      <formula>0</formula>
    </cfRule>
  </conditionalFormatting>
  <dataValidations count="1">
    <dataValidation sqref="B5" showDropDown="0" showInputMessage="0" showErrorMessage="0" allowBlank="1" type="list">
      <formula1>"現金,銀行振込,手形"</formula1>
    </dataValidation>
  </dataValidations>
  <hyperlinks>
    <hyperlink xmlns:r="http://schemas.openxmlformats.org/officeDocument/2006/relationships" ref="A30" r:id="rId1"/>
  </hyperlinks>
  <pageMargins left="0.7" right="0.7" top="0.75" bottom="0.75" header="0.3" footer="0.3"/>
  <pageSetup orientation="portrait" paperSize="9"/>
  <headerFooter>
    <oddHeader/>
    <oddFooter>&amp;L&amp;F&amp;R&amp;P/&amp;N</oddFooter>
    <evenHeader/>
    <evenFooter/>
    <firstHeader/>
    <firstFooter/>
  </headerFooter>
  <drawing xmlns:r="http://schemas.openxmlformats.org/officeDocument/2006/relationships" r:id="rId2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8.75"/>
  <sheetData>
    <row r="1">
      <c r="A1" t="inlineStr">
        <is>
          <t>P-001</t>
        </is>
      </c>
      <c r="B1" t="inlineStr">
        <is>
          <t>コピー用紙</t>
        </is>
      </c>
      <c r="C1" t="n">
        <v>480</v>
      </c>
    </row>
    <row r="2">
      <c r="A2" t="inlineStr">
        <is>
          <t>P-002</t>
        </is>
      </c>
      <c r="B2" t="inlineStr">
        <is>
          <t>トナー</t>
        </is>
      </c>
      <c r="C2" t="n">
        <v>12800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2026-04-01T00:00:00Z</dcterms:created>
  <dcterms:modified xsi:type="dcterms:W3CDTF">2026-04-01T00:00:00Z</dcterms:modified>
</cp:coreProperties>
</file>